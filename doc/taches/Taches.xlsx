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groupe" sheetId="1" state="visible" r:id="rId3"/>
    <sheet name="liste des taches" sheetId="2" state="visible" r:id="rId4"/>
    <sheet name="Recap" sheetId="3" state="visible" r:id="rId5"/>
    <sheet name="avancement" sheetId="4" state="visible" r:id="rId6"/>
    <sheet name="detail_avancement" sheetId="5" state="visible" r:id="rId7"/>
  </sheets>
  <calcPr iterateCount="100" refMode="A1" iterate="false" iterateDelta="0.0001"/>
  <pivotCaches>
    <pivotCache cacheId="1" r:id="rId9"/>
  </pivotCaches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<sst xmlns="http://schemas.openxmlformats.org/spreadsheetml/2006/main" count="395" uniqueCount="161">
  <si>
    <t xml:space="preserve">ETU003344</t>
  </si>
  <si>
    <t xml:space="preserve">Eddou</t>
  </si>
  <si>
    <t xml:space="preserve">Ligne</t>
  </si>
  <si>
    <t xml:space="preserve">Catégorie</t>
  </si>
  <si>
    <t xml:space="preserve">Module</t>
  </si>
  <si>
    <t xml:space="preserve">Page</t>
  </si>
  <si>
    <t xml:space="preserve">Description tâche</t>
  </si>
  <si>
    <t xml:space="preserve">Type</t>
  </si>
  <si>
    <t xml:space="preserve">Qui</t>
  </si>
  <si>
    <t xml:space="preserve">Estimation</t>
  </si>
  <si>
    <t xml:space="preserve">Temps passé</t>
  </si>
  <si>
    <t xml:space="preserve">Reste à faire</t>
  </si>
  <si>
    <t xml:space="preserve">Avancement</t>
  </si>
  <si>
    <t xml:space="preserve">Analyse</t>
  </si>
  <si>
    <t xml:space="preserve">Etude</t>
  </si>
  <si>
    <t xml:space="preserve">Analyse du sujet</t>
  </si>
  <si>
    <t xml:space="preserve">GLPI</t>
  </si>
  <si>
    <t xml:space="preserve">Installation GLPI</t>
  </si>
  <si>
    <t xml:space="preserve">Intégration</t>
  </si>
  <si>
    <t xml:space="preserve">Configuration MySQL</t>
  </si>
  <si>
    <t xml:space="preserve">Création projet React</t>
  </si>
  <si>
    <t xml:space="preserve">Architecture</t>
  </si>
  <si>
    <t xml:space="preserve">Backend</t>
  </si>
  <si>
    <t xml:space="preserve">Création projet Express</t>
  </si>
  <si>
    <t xml:space="preserve">Création base SQLite</t>
  </si>
  <si>
    <t xml:space="preserve">Frontend</t>
  </si>
  <si>
    <t xml:space="preserve">Table paramètres SQLite</t>
  </si>
  <si>
    <t xml:space="preserve">Métier</t>
  </si>
  <si>
    <t xml:space="preserve">Authentification Backoffice</t>
  </si>
  <si>
    <t xml:space="preserve">SQLite</t>
  </si>
  <si>
    <t xml:space="preserve">Protection des routes</t>
  </si>
  <si>
    <t xml:space="preserve">API Réinitialisation</t>
  </si>
  <si>
    <t xml:space="preserve">Interface Réinitialisation</t>
  </si>
  <si>
    <t xml:space="preserve">Affichage</t>
  </si>
  <si>
    <t xml:space="preserve">Import CSV Equipements</t>
  </si>
  <si>
    <t xml:space="preserve">API</t>
  </si>
  <si>
    <t xml:space="preserve">Validation CSV Equipements</t>
  </si>
  <si>
    <t xml:space="preserve">Import CSV Tickets</t>
  </si>
  <si>
    <t xml:space="preserve">Import CSV Utilisateurs</t>
  </si>
  <si>
    <t xml:space="preserve">Backoffice</t>
  </si>
  <si>
    <t xml:space="preserve">Sécurité</t>
  </si>
  <si>
    <t xml:space="preserve">Import ZIP Images</t>
  </si>
  <si>
    <t xml:space="preserve">Dashboard Equipements</t>
  </si>
  <si>
    <t xml:space="preserve">Dashboard Tickets</t>
  </si>
  <si>
    <t xml:space="preserve">Layout</t>
  </si>
  <si>
    <t xml:space="preserve">Liste Tickets BO</t>
  </si>
  <si>
    <t xml:space="preserve">Fiche Ticket BO</t>
  </si>
  <si>
    <t xml:space="preserve">Réinitialisation</t>
  </si>
  <si>
    <t xml:space="preserve">Liste Equipements FO</t>
  </si>
  <si>
    <t xml:space="preserve">Recherche multicritère</t>
  </si>
  <si>
    <t xml:space="preserve">Création Ticket FO</t>
  </si>
  <si>
    <t xml:space="preserve">Import</t>
  </si>
  <si>
    <t xml:space="preserve">CSV Equipements</t>
  </si>
  <si>
    <t xml:space="preserve">Association multi-équipements</t>
  </si>
  <si>
    <t xml:space="preserve">Kanban Colonnes</t>
  </si>
  <si>
    <t xml:space="preserve">Kanban Drag &amp; Drop</t>
  </si>
  <si>
    <t xml:space="preserve">Popup changement statut</t>
  </si>
  <si>
    <t xml:space="preserve">CSV Tickets</t>
  </si>
  <si>
    <t xml:space="preserve">Paramètres couleurs</t>
  </si>
  <si>
    <t xml:space="preserve">Traductions malgaches</t>
  </si>
  <si>
    <t xml:space="preserve">Synchronisation GLPI</t>
  </si>
  <si>
    <t xml:space="preserve">Tests API</t>
  </si>
  <si>
    <t xml:space="preserve">Test</t>
  </si>
  <si>
    <t xml:space="preserve">CSV Utilisateurs</t>
  </si>
  <si>
    <t xml:space="preserve">Tests Frontend</t>
  </si>
  <si>
    <t xml:space="preserve">Documentation technique</t>
  </si>
  <si>
    <t xml:space="preserve">Documentation</t>
  </si>
  <si>
    <t xml:space="preserve">Guide utilisateur</t>
  </si>
  <si>
    <t xml:space="preserve">Images</t>
  </si>
  <si>
    <t xml:space="preserve">Décompression ZIP</t>
  </si>
  <si>
    <t xml:space="preserve">Extraction images</t>
  </si>
  <si>
    <t xml:space="preserve">Association</t>
  </si>
  <si>
    <t xml:space="preserve">Liaison image-équipement</t>
  </si>
  <si>
    <t xml:space="preserve">API statistiques</t>
  </si>
  <si>
    <t xml:space="preserve">Calcul des compteurs</t>
  </si>
  <si>
    <t xml:space="preserve">Dashboard</t>
  </si>
  <si>
    <t xml:space="preserve">Equipements</t>
  </si>
  <si>
    <t xml:space="preserve">Répartition types</t>
  </si>
  <si>
    <t xml:space="preserve">Calcul par catégorie</t>
  </si>
  <si>
    <t xml:space="preserve">Affichage cartes</t>
  </si>
  <si>
    <t xml:space="preserve">Widgets statistiques</t>
  </si>
  <si>
    <t xml:space="preserve">Nombre total tickets</t>
  </si>
  <si>
    <t xml:space="preserve">Tickets</t>
  </si>
  <si>
    <t xml:space="preserve">Calcul statuts</t>
  </si>
  <si>
    <t xml:space="preserve">Tickets par statut</t>
  </si>
  <si>
    <t xml:space="preserve">Affichage graphique</t>
  </si>
  <si>
    <t xml:space="preserve">Résumé visuel</t>
  </si>
  <si>
    <t xml:space="preserve">Liste tickets</t>
  </si>
  <si>
    <t xml:space="preserve">Tableau des tickets</t>
  </si>
  <si>
    <t xml:space="preserve">Pagination</t>
  </si>
  <si>
    <t xml:space="preserve">Navigation pages</t>
  </si>
  <si>
    <t xml:space="preserve">Recherche</t>
  </si>
  <si>
    <t xml:space="preserve">Filtrage des tickets</t>
  </si>
  <si>
    <t xml:space="preserve">Détail ticket</t>
  </si>
  <si>
    <t xml:space="preserve">Fiche complète</t>
  </si>
  <si>
    <t xml:space="preserve">Liste équipements</t>
  </si>
  <si>
    <t xml:space="preserve">Tableau équipements</t>
  </si>
  <si>
    <t xml:space="preserve">Frontoffice</t>
  </si>
  <si>
    <t xml:space="preserve">Recherche nom</t>
  </si>
  <si>
    <t xml:space="preserve">Filtre par nom</t>
  </si>
  <si>
    <t xml:space="preserve">Recherche type</t>
  </si>
  <si>
    <t xml:space="preserve">Filtre par type</t>
  </si>
  <si>
    <t xml:space="preserve">Recherche statut</t>
  </si>
  <si>
    <t xml:space="preserve">Filtre par statut</t>
  </si>
  <si>
    <t xml:space="preserve">Formulaire ticket</t>
  </si>
  <si>
    <t xml:space="preserve">Création ticket</t>
  </si>
  <si>
    <t xml:space="preserve">Sélection utilisateur</t>
  </si>
  <si>
    <t xml:space="preserve">Choix demandeur</t>
  </si>
  <si>
    <t xml:space="preserve">Sélection équipements</t>
  </si>
  <si>
    <t xml:space="preserve">Association multiple</t>
  </si>
  <si>
    <t xml:space="preserve">Validation formulaire</t>
  </si>
  <si>
    <t xml:space="preserve">Contrôle saisie</t>
  </si>
  <si>
    <t xml:space="preserve">Enregistrement</t>
  </si>
  <si>
    <t xml:space="preserve">Création ticket GLPI</t>
  </si>
  <si>
    <t xml:space="preserve">Structure colonnes</t>
  </si>
  <si>
    <t xml:space="preserve">New / In progress / Closed</t>
  </si>
  <si>
    <t xml:space="preserve">Kanban</t>
  </si>
  <si>
    <t xml:space="preserve">Chargement tickets</t>
  </si>
  <si>
    <t xml:space="preserve">Drag and Drop</t>
  </si>
  <si>
    <t xml:space="preserve">Déplacement tickets</t>
  </si>
  <si>
    <t xml:space="preserve">Mise à jour statut</t>
  </si>
  <si>
    <t xml:space="preserve">Sauvegarde statut</t>
  </si>
  <si>
    <t xml:space="preserve">Popup changement</t>
  </si>
  <si>
    <t xml:space="preserve">Informations complémentaires</t>
  </si>
  <si>
    <t xml:space="preserve">Compteurs colonnes</t>
  </si>
  <si>
    <t xml:space="preserve">Total par statut</t>
  </si>
  <si>
    <t xml:space="preserve">Affichage complet</t>
  </si>
  <si>
    <t xml:space="preserve">Table SQLite</t>
  </si>
  <si>
    <t xml:space="preserve">Sauvegarde couleurs</t>
  </si>
  <si>
    <t xml:space="preserve">Paramètres</t>
  </si>
  <si>
    <t xml:space="preserve">Couleurs</t>
  </si>
  <si>
    <t xml:space="preserve">Interface gestion</t>
  </si>
  <si>
    <t xml:space="preserve">Modification couleurs</t>
  </si>
  <si>
    <t xml:space="preserve">Traduction</t>
  </si>
  <si>
    <t xml:space="preserve">Edition des statuts</t>
  </si>
  <si>
    <t xml:space="preserve">Lecture équipements</t>
  </si>
  <si>
    <t xml:space="preserve">API GLPI</t>
  </si>
  <si>
    <t xml:space="preserve">Synchronisation</t>
  </si>
  <si>
    <t xml:space="preserve">Lecture tickets</t>
  </si>
  <si>
    <t xml:space="preserve">Actualisation données</t>
  </si>
  <si>
    <t xml:space="preserve">Vérification routes</t>
  </si>
  <si>
    <t xml:space="preserve">Tests</t>
  </si>
  <si>
    <t xml:space="preserve">Tests interfaces</t>
  </si>
  <si>
    <t xml:space="preserve">Vérification écrans</t>
  </si>
  <si>
    <t xml:space="preserve">Validation import</t>
  </si>
  <si>
    <t xml:space="preserve">Vérification données</t>
  </si>
  <si>
    <t xml:space="preserve">Test déplacement</t>
  </si>
  <si>
    <t xml:space="preserve">Validation workflow</t>
  </si>
  <si>
    <t xml:space="preserve">Données</t>
  </si>
  <si>
    <t xml:space="preserve">SUM of Estimation</t>
  </si>
  <si>
    <t xml:space="preserve">SUM of Temps passé</t>
  </si>
  <si>
    <t xml:space="preserve">SUM of Reste à faire</t>
  </si>
  <si>
    <t xml:space="preserve">(vide)</t>
  </si>
  <si>
    <t xml:space="preserve">Total Résultat</t>
  </si>
  <si>
    <t xml:space="preserve">estimation total</t>
  </si>
  <si>
    <t xml:space="preserve">temps passé total</t>
  </si>
  <si>
    <t xml:space="preserve">reste à faire total</t>
  </si>
  <si>
    <t xml:space="preserve">avancement</t>
  </si>
  <si>
    <t xml:space="preserve">dépassement</t>
  </si>
  <si>
    <t xml:space="preserve">heure</t>
  </si>
  <si>
    <t xml:space="preserve">Total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</si>
</sst>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0\ %"/>
    <numFmt numFmtId="167" formatCode="0\ %"/>
    <numFmt numFmtId="168" formatCode="d/m"/>
    <numFmt numFmtId="169" formatCode="dd/mm/yyyy"/>
  </numFmts>
  <fonts count="1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0000"/>
      <name val="Times New Roman"/>
      <family val="0"/>
      <charset val="1"/>
    </font>
    <font>
      <sz val="10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2"/>
      <color theme="1"/>
      <name val="Aptos Narrow"/>
      <family val="0"/>
      <charset val="1"/>
    </font>
    <font>
      <sz val="12"/>
      <color theme="1"/>
      <name val="Aptos Narrow"/>
      <family val="0"/>
      <charset val="1"/>
    </font>
    <font>
      <b val="true"/>
      <sz val="12"/>
      <color theme="1"/>
      <name val="Arial"/>
      <family val="0"/>
      <charset val="1"/>
    </font>
    <font>
      <sz val="12"/>
      <color theme="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0C0C0"/>
      </patternFill>
    </fill>
    <fill>
      <patternFill patternType="solid">
        <fgColor rgb="FFFFE599"/>
        <bgColor rgb="FFFFFF99"/>
      </patternFill>
    </fill>
    <fill>
      <patternFill patternType="solid">
        <fgColor rgb="FF95DCF7"/>
        <bgColor rgb="FFC9DAF8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in de la table dynamique" xfId="20"/>
    <cellStyle name="Valeur de la table dynamique" xfId="21"/>
    <cellStyle name="Champ de la table dynamique" xfId="22"/>
    <cellStyle name="Catégorie de la table dynamique" xfId="23"/>
    <cellStyle name="Titre de la table dynamique" xfId="24"/>
    <cellStyle name="Résultat de la table dynamique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DCF7"/>
      <rgbColor rgb="FFFF99CC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<Relationship Id="rId9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73" createdVersion="3">
  <cacheSource type="worksheet">
    <worksheetSource ref="B1:K993" sheet="liste des taches"/>
  </cacheSource>
  <cacheFields count="10">
    <cacheField name="Catégorie" numFmtId="0">
      <sharedItems containsBlank="1" count="3">
        <s v="backoffice"/>
        <s v="Frontoffice"/>
        <m/>
      </sharedItems>
    </cacheField>
    <cacheField name="Module" numFmtId="0">
      <sharedItems containsBlank="1" count="15">
        <s v="Dashbord"/>
        <s v="Gestion Accueil"/>
        <s v="Gestion Commande"/>
        <s v="Gestion Commande "/>
        <s v="Gestion import"/>
        <s v="Gestion Import "/>
        <s v="Gestion initialisation"/>
        <s v="Gestion Login"/>
        <s v="Gestion panier"/>
        <s v="Gestion produit"/>
        <s v="Gestion route"/>
        <s v="Gestion stock"/>
        <s v="Gestion stock "/>
        <s v="Gestion User"/>
        <m/>
      </sharedItems>
    </cacheField>
    <cacheField name="Page" numFmtId="0">
      <sharedItems containsBlank="1" count="16">
        <s v="Accueil"/>
        <s v="commande "/>
        <s v="Commande Liste By user"/>
        <s v="Commande workflow"/>
        <s v="Dashbord"/>
        <s v="Detail"/>
        <s v="etat commande"/>
        <s v="Import global"/>
        <s v="initialisation"/>
        <s v="Liste Client "/>
        <s v="login"/>
        <s v="panier"/>
        <s v="Recherche Multicriter"/>
        <s v="routage"/>
        <s v="Stock"/>
        <m/>
      </sharedItems>
    </cacheField>
    <cacheField name="Description tâche" numFmtId="0">
      <sharedItems containsBlank="1" count="48">
        <s v="Affichage avec donner brute"/>
        <s v="ajout import image via fichier .zip"/>
        <s v="Ajoute fenetre flottant pour changer l etat de commade : Annuler / Livrer"/>
        <s v="ajoute import csv 2"/>
        <s v="ajoute import csv 3"/>
        <s v="Ajoute panier comme commande "/>
        <s v="ajoute section categorie"/>
        <s v="Appele API: getProduitByID + getAttribue &amp; getCaracteristique + getStock"/>
        <s v="button update stock avec fenetre flottant"/>
        <s v="champ evolution stock journanlier"/>
        <s v="checkLogin"/>
        <s v="checUser + token avec expiration 8h"/>
        <s v="ChecUserToken , securiser les Pages dans Admin"/>
        <s v="conformiter de nom de colonne"/>
        <s v="Construction endpoint avec module dans prestashop"/>
        <s v="create pages ou il y bouton init"/>
        <s v="Creation des input "/>
        <s v="creation div qui affiche stock sur chaque produit"/>
        <s v="Creation page"/>
        <s v="Creation page liste des clients existant"/>
        <s v="Creation page login"/>
        <s v="Création page login"/>
        <s v="Design css"/>
        <s v="extract fichier + upload vers prestashop"/>
        <s v="gestion date , ne doit pas etre different de dd/mm/yyyyy"/>
        <s v="gestion montant , le montant ne doit pas etre 0 ou negatif"/>
        <s v="GetAllClient"/>
        <s v="getAllCommande + etat(paiement effectué ou annuler)"/>
        <s v="getAllCommande par utilisateur + etat"/>
        <s v="getAllpanier par utilisateur "/>
        <s v="getAllProduitCarts + Adresse +mode livraison(Actif) + mode paiement(Actif)"/>
        <s v="getAllStock"/>
        <s v="getByNom&amp;ByCategory&amp;entervalPrixMinEtMax"/>
        <s v="getNbrCommande par jour avec montant total de ce jour "/>
        <s v="getProduit"/>
        <s v="getProduit + getCategorie"/>
        <s v="getProduit + getStock"/>
        <s v="getProduit + getStock + getStockMouvemnet"/>
        <s v="insere produit + taxes + categorie"/>
        <s v="inserer commande ou panier + client + adresse"/>
        <s v="inserer produitAttribut et stock"/>
        <s v="Liste des commande + etat"/>
        <s v="page import csv 1"/>
        <s v="pages liste stock"/>
        <s v="suppression de tous les donner : commande,panier,adresse,client,attribut valeur,attribut group,caracteristique valeur , caracteristique groupe,produit,categorie(sauf 1&amp;2),"/>
        <s v="update stock + create mouvemnet stock"/>
        <s v="user anonyme "/>
        <m/>
      </sharedItems>
    </cacheField>
    <cacheField name="Type" numFmtId="0">
      <sharedItems containsBlank="1" count="4">
        <s v="Affichage"/>
        <s v="Integration"/>
        <s v="Metier"/>
        <m/>
      </sharedItems>
    </cacheField>
    <cacheField name="Qui" numFmtId="0">
      <sharedItems containsBlank="1" count="2">
        <s v="ETU003344"/>
        <m/>
      </sharedItems>
    </cacheField>
    <cacheField name="Estimation" numFmtId="0">
      <sharedItems containsString="0" containsBlank="1" containsNumber="1" containsInteger="1" minValue="20" maxValue="30" count="3">
        <n v="20"/>
        <n v="30"/>
        <m/>
      </sharedItems>
    </cacheField>
    <cacheField name="Temps passé" numFmtId="0">
      <sharedItems containsString="0" containsBlank="1" containsNumber="1" containsInteger="1" minValue="0" maxValue="30" count="4">
        <n v="0"/>
        <n v="20"/>
        <n v="30"/>
        <m/>
      </sharedItems>
    </cacheField>
    <cacheField name="Reste à faire" numFmtId="0">
      <sharedItems containsString="0" containsBlank="1" containsNumber="1" containsInteger="1" minValue="0" maxValue="30" count="3">
        <n v="0"/>
        <n v="30"/>
        <m/>
      </sharedItems>
    </cacheField>
    <cacheField name="Avancement" numFmtId="0">
      <sharedItems containsString="0" containsBlank="1" containsNumber="1" containsInteger="1" minValue="0" maxValue="1" count="3">
        <n v="0"/>
        <n v="1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3">
  <r>
    <x v="1"/>
    <x v="7"/>
    <x v="10"/>
    <x v="21"/>
    <x v="0"/>
    <x v="0"/>
    <x v="1"/>
    <x v="2"/>
    <x v="0"/>
    <x v="1"/>
  </r>
  <r>
    <x v="1"/>
    <x v="7"/>
    <x v="10"/>
    <x v="22"/>
    <x v="2"/>
    <x v="0"/>
    <x v="0"/>
    <x v="1"/>
    <x v="0"/>
    <x v="1"/>
  </r>
  <r>
    <x v="1"/>
    <x v="7"/>
    <x v="10"/>
    <x v="10"/>
    <x v="1"/>
    <x v="0"/>
    <x v="1"/>
    <x v="2"/>
    <x v="0"/>
    <x v="1"/>
  </r>
  <r>
    <x v="1"/>
    <x v="9"/>
    <x v="0"/>
    <x v="18"/>
    <x v="0"/>
    <x v="0"/>
    <x v="1"/>
    <x v="2"/>
    <x v="0"/>
    <x v="1"/>
  </r>
  <r>
    <x v="1"/>
    <x v="9"/>
    <x v="0"/>
    <x v="22"/>
    <x v="2"/>
    <x v="0"/>
    <x v="1"/>
    <x v="2"/>
    <x v="0"/>
    <x v="1"/>
  </r>
  <r>
    <x v="1"/>
    <x v="9"/>
    <x v="0"/>
    <x v="34"/>
    <x v="1"/>
    <x v="0"/>
    <x v="1"/>
    <x v="2"/>
    <x v="0"/>
    <x v="1"/>
  </r>
  <r>
    <x v="1"/>
    <x v="9"/>
    <x v="0"/>
    <x v="6"/>
    <x v="0"/>
    <x v="0"/>
    <x v="1"/>
    <x v="2"/>
    <x v="0"/>
    <x v="1"/>
  </r>
  <r>
    <x v="1"/>
    <x v="9"/>
    <x v="0"/>
    <x v="22"/>
    <x v="2"/>
    <x v="0"/>
    <x v="1"/>
    <x v="2"/>
    <x v="0"/>
    <x v="1"/>
  </r>
  <r>
    <x v="1"/>
    <x v="9"/>
    <x v="0"/>
    <x v="35"/>
    <x v="1"/>
    <x v="0"/>
    <x v="1"/>
    <x v="2"/>
    <x v="0"/>
    <x v="1"/>
  </r>
  <r>
    <x v="1"/>
    <x v="9"/>
    <x v="5"/>
    <x v="18"/>
    <x v="0"/>
    <x v="0"/>
    <x v="1"/>
    <x v="2"/>
    <x v="0"/>
    <x v="1"/>
  </r>
  <r>
    <x v="1"/>
    <x v="9"/>
    <x v="5"/>
    <x v="22"/>
    <x v="2"/>
    <x v="0"/>
    <x v="1"/>
    <x v="2"/>
    <x v="0"/>
    <x v="1"/>
  </r>
  <r>
    <x v="1"/>
    <x v="9"/>
    <x v="5"/>
    <x v="7"/>
    <x v="1"/>
    <x v="0"/>
    <x v="1"/>
    <x v="2"/>
    <x v="0"/>
    <x v="1"/>
  </r>
  <r>
    <x v="1"/>
    <x v="8"/>
    <x v="11"/>
    <x v="18"/>
    <x v="0"/>
    <x v="0"/>
    <x v="1"/>
    <x v="2"/>
    <x v="0"/>
    <x v="1"/>
  </r>
  <r>
    <x v="1"/>
    <x v="8"/>
    <x v="11"/>
    <x v="22"/>
    <x v="2"/>
    <x v="0"/>
    <x v="1"/>
    <x v="2"/>
    <x v="0"/>
    <x v="1"/>
  </r>
  <r>
    <x v="1"/>
    <x v="8"/>
    <x v="11"/>
    <x v="29"/>
    <x v="1"/>
    <x v="0"/>
    <x v="1"/>
    <x v="2"/>
    <x v="0"/>
    <x v="1"/>
  </r>
  <r>
    <x v="1"/>
    <x v="2"/>
    <x v="2"/>
    <x v="18"/>
    <x v="0"/>
    <x v="0"/>
    <x v="1"/>
    <x v="2"/>
    <x v="0"/>
    <x v="1"/>
  </r>
  <r>
    <x v="1"/>
    <x v="2"/>
    <x v="2"/>
    <x v="22"/>
    <x v="2"/>
    <x v="0"/>
    <x v="1"/>
    <x v="2"/>
    <x v="0"/>
    <x v="1"/>
  </r>
  <r>
    <x v="1"/>
    <x v="2"/>
    <x v="2"/>
    <x v="28"/>
    <x v="1"/>
    <x v="0"/>
    <x v="1"/>
    <x v="2"/>
    <x v="0"/>
    <x v="1"/>
  </r>
  <r>
    <x v="1"/>
    <x v="2"/>
    <x v="3"/>
    <x v="18"/>
    <x v="0"/>
    <x v="0"/>
    <x v="1"/>
    <x v="2"/>
    <x v="0"/>
    <x v="1"/>
  </r>
  <r>
    <x v="1"/>
    <x v="2"/>
    <x v="3"/>
    <x v="22"/>
    <x v="2"/>
    <x v="0"/>
    <x v="1"/>
    <x v="2"/>
    <x v="0"/>
    <x v="1"/>
  </r>
  <r>
    <x v="1"/>
    <x v="2"/>
    <x v="3"/>
    <x v="30"/>
    <x v="1"/>
    <x v="0"/>
    <x v="1"/>
    <x v="2"/>
    <x v="0"/>
    <x v="1"/>
  </r>
  <r>
    <x v="0"/>
    <x v="7"/>
    <x v="10"/>
    <x v="20"/>
    <x v="0"/>
    <x v="0"/>
    <x v="1"/>
    <x v="2"/>
    <x v="0"/>
    <x v="1"/>
  </r>
  <r>
    <x v="0"/>
    <x v="7"/>
    <x v="10"/>
    <x v="22"/>
    <x v="2"/>
    <x v="0"/>
    <x v="1"/>
    <x v="2"/>
    <x v="0"/>
    <x v="1"/>
  </r>
  <r>
    <x v="0"/>
    <x v="7"/>
    <x v="10"/>
    <x v="11"/>
    <x v="1"/>
    <x v="0"/>
    <x v="1"/>
    <x v="2"/>
    <x v="0"/>
    <x v="1"/>
  </r>
  <r>
    <x v="0"/>
    <x v="10"/>
    <x v="13"/>
    <x v="12"/>
    <x v="2"/>
    <x v="0"/>
    <x v="1"/>
    <x v="2"/>
    <x v="0"/>
    <x v="1"/>
  </r>
  <r>
    <x v="0"/>
    <x v="3"/>
    <x v="1"/>
    <x v="41"/>
    <x v="0"/>
    <x v="0"/>
    <x v="1"/>
    <x v="2"/>
    <x v="0"/>
    <x v="1"/>
  </r>
  <r>
    <x v="0"/>
    <x v="3"/>
    <x v="1"/>
    <x v="22"/>
    <x v="2"/>
    <x v="0"/>
    <x v="1"/>
    <x v="2"/>
    <x v="0"/>
    <x v="1"/>
  </r>
  <r>
    <x v="0"/>
    <x v="3"/>
    <x v="1"/>
    <x v="27"/>
    <x v="1"/>
    <x v="0"/>
    <x v="1"/>
    <x v="2"/>
    <x v="0"/>
    <x v="1"/>
  </r>
  <r>
    <x v="0"/>
    <x v="6"/>
    <x v="8"/>
    <x v="15"/>
    <x v="0"/>
    <x v="0"/>
    <x v="1"/>
    <x v="2"/>
    <x v="0"/>
    <x v="1"/>
  </r>
  <r>
    <x v="0"/>
    <x v="6"/>
    <x v="8"/>
    <x v="22"/>
    <x v="2"/>
    <x v="0"/>
    <x v="1"/>
    <x v="2"/>
    <x v="0"/>
    <x v="1"/>
  </r>
  <r>
    <x v="0"/>
    <x v="6"/>
    <x v="8"/>
    <x v="44"/>
    <x v="1"/>
    <x v="0"/>
    <x v="1"/>
    <x v="2"/>
    <x v="0"/>
    <x v="1"/>
  </r>
  <r>
    <x v="1"/>
    <x v="13"/>
    <x v="0"/>
    <x v="19"/>
    <x v="0"/>
    <x v="0"/>
    <x v="1"/>
    <x v="2"/>
    <x v="0"/>
    <x v="1"/>
  </r>
  <r>
    <x v="1"/>
    <x v="13"/>
    <x v="0"/>
    <x v="22"/>
    <x v="2"/>
    <x v="0"/>
    <x v="1"/>
    <x v="2"/>
    <x v="0"/>
    <x v="1"/>
  </r>
  <r>
    <x v="1"/>
    <x v="13"/>
    <x v="0"/>
    <x v="26"/>
    <x v="1"/>
    <x v="0"/>
    <x v="1"/>
    <x v="2"/>
    <x v="0"/>
    <x v="1"/>
  </r>
  <r>
    <x v="1"/>
    <x v="1"/>
    <x v="12"/>
    <x v="16"/>
    <x v="0"/>
    <x v="0"/>
    <x v="1"/>
    <x v="2"/>
    <x v="0"/>
    <x v="1"/>
  </r>
  <r>
    <x v="1"/>
    <x v="1"/>
    <x v="12"/>
    <x v="22"/>
    <x v="2"/>
    <x v="0"/>
    <x v="1"/>
    <x v="2"/>
    <x v="0"/>
    <x v="1"/>
  </r>
  <r>
    <x v="1"/>
    <x v="1"/>
    <x v="12"/>
    <x v="32"/>
    <x v="1"/>
    <x v="0"/>
    <x v="1"/>
    <x v="2"/>
    <x v="0"/>
    <x v="1"/>
  </r>
  <r>
    <x v="0"/>
    <x v="0"/>
    <x v="4"/>
    <x v="0"/>
    <x v="0"/>
    <x v="0"/>
    <x v="1"/>
    <x v="0"/>
    <x v="1"/>
    <x v="0"/>
  </r>
  <r>
    <x v="0"/>
    <x v="0"/>
    <x v="4"/>
    <x v="22"/>
    <x v="2"/>
    <x v="0"/>
    <x v="1"/>
    <x v="0"/>
    <x v="1"/>
    <x v="0"/>
  </r>
  <r>
    <x v="0"/>
    <x v="0"/>
    <x v="4"/>
    <x v="33"/>
    <x v="1"/>
    <x v="0"/>
    <x v="1"/>
    <x v="0"/>
    <x v="1"/>
    <x v="0"/>
  </r>
  <r>
    <x v="1"/>
    <x v="9"/>
    <x v="0"/>
    <x v="17"/>
    <x v="0"/>
    <x v="0"/>
    <x v="1"/>
    <x v="2"/>
    <x v="0"/>
    <x v="1"/>
  </r>
  <r>
    <x v="1"/>
    <x v="9"/>
    <x v="0"/>
    <x v="22"/>
    <x v="2"/>
    <x v="0"/>
    <x v="1"/>
    <x v="2"/>
    <x v="0"/>
    <x v="1"/>
  </r>
  <r>
    <x v="1"/>
    <x v="9"/>
    <x v="0"/>
    <x v="36"/>
    <x v="1"/>
    <x v="0"/>
    <x v="1"/>
    <x v="2"/>
    <x v="0"/>
    <x v="1"/>
  </r>
  <r>
    <x v="0"/>
    <x v="4"/>
    <x v="7"/>
    <x v="42"/>
    <x v="0"/>
    <x v="0"/>
    <x v="1"/>
    <x v="2"/>
    <x v="0"/>
    <x v="1"/>
  </r>
  <r>
    <x v="0"/>
    <x v="4"/>
    <x v="7"/>
    <x v="22"/>
    <x v="2"/>
    <x v="0"/>
    <x v="1"/>
    <x v="2"/>
    <x v="0"/>
    <x v="1"/>
  </r>
  <r>
    <x v="0"/>
    <x v="4"/>
    <x v="7"/>
    <x v="38"/>
    <x v="1"/>
    <x v="0"/>
    <x v="1"/>
    <x v="2"/>
    <x v="0"/>
    <x v="1"/>
  </r>
  <r>
    <x v="0"/>
    <x v="4"/>
    <x v="7"/>
    <x v="3"/>
    <x v="0"/>
    <x v="0"/>
    <x v="1"/>
    <x v="2"/>
    <x v="0"/>
    <x v="1"/>
  </r>
  <r>
    <x v="0"/>
    <x v="4"/>
    <x v="7"/>
    <x v="22"/>
    <x v="2"/>
    <x v="0"/>
    <x v="1"/>
    <x v="2"/>
    <x v="0"/>
    <x v="1"/>
  </r>
  <r>
    <x v="0"/>
    <x v="4"/>
    <x v="7"/>
    <x v="40"/>
    <x v="1"/>
    <x v="0"/>
    <x v="1"/>
    <x v="2"/>
    <x v="0"/>
    <x v="1"/>
  </r>
  <r>
    <x v="0"/>
    <x v="4"/>
    <x v="7"/>
    <x v="4"/>
    <x v="0"/>
    <x v="0"/>
    <x v="1"/>
    <x v="2"/>
    <x v="0"/>
    <x v="1"/>
  </r>
  <r>
    <x v="0"/>
    <x v="4"/>
    <x v="7"/>
    <x v="22"/>
    <x v="2"/>
    <x v="0"/>
    <x v="1"/>
    <x v="2"/>
    <x v="0"/>
    <x v="1"/>
  </r>
  <r>
    <x v="0"/>
    <x v="4"/>
    <x v="7"/>
    <x v="39"/>
    <x v="1"/>
    <x v="0"/>
    <x v="1"/>
    <x v="2"/>
    <x v="0"/>
    <x v="1"/>
  </r>
  <r>
    <x v="0"/>
    <x v="4"/>
    <x v="7"/>
    <x v="1"/>
    <x v="0"/>
    <x v="0"/>
    <x v="1"/>
    <x v="2"/>
    <x v="0"/>
    <x v="1"/>
  </r>
  <r>
    <x v="0"/>
    <x v="4"/>
    <x v="7"/>
    <x v="22"/>
    <x v="2"/>
    <x v="0"/>
    <x v="1"/>
    <x v="2"/>
    <x v="0"/>
    <x v="1"/>
  </r>
  <r>
    <x v="0"/>
    <x v="4"/>
    <x v="7"/>
    <x v="23"/>
    <x v="1"/>
    <x v="0"/>
    <x v="1"/>
    <x v="2"/>
    <x v="0"/>
    <x v="1"/>
  </r>
  <r>
    <x v="1"/>
    <x v="13"/>
    <x v="9"/>
    <x v="46"/>
    <x v="0"/>
    <x v="0"/>
    <x v="1"/>
    <x v="2"/>
    <x v="0"/>
    <x v="1"/>
  </r>
  <r>
    <x v="0"/>
    <x v="11"/>
    <x v="14"/>
    <x v="43"/>
    <x v="0"/>
    <x v="0"/>
    <x v="1"/>
    <x v="2"/>
    <x v="0"/>
    <x v="1"/>
  </r>
  <r>
    <x v="0"/>
    <x v="11"/>
    <x v="14"/>
    <x v="22"/>
    <x v="2"/>
    <x v="0"/>
    <x v="1"/>
    <x v="2"/>
    <x v="0"/>
    <x v="1"/>
  </r>
  <r>
    <x v="0"/>
    <x v="11"/>
    <x v="14"/>
    <x v="31"/>
    <x v="1"/>
    <x v="0"/>
    <x v="1"/>
    <x v="2"/>
    <x v="0"/>
    <x v="1"/>
  </r>
  <r>
    <x v="0"/>
    <x v="12"/>
    <x v="14"/>
    <x v="8"/>
    <x v="0"/>
    <x v="0"/>
    <x v="1"/>
    <x v="2"/>
    <x v="0"/>
    <x v="1"/>
  </r>
  <r>
    <x v="0"/>
    <x v="12"/>
    <x v="14"/>
    <x v="22"/>
    <x v="2"/>
    <x v="0"/>
    <x v="1"/>
    <x v="2"/>
    <x v="0"/>
    <x v="1"/>
  </r>
  <r>
    <x v="0"/>
    <x v="12"/>
    <x v="14"/>
    <x v="45"/>
    <x v="1"/>
    <x v="0"/>
    <x v="1"/>
    <x v="2"/>
    <x v="0"/>
    <x v="1"/>
  </r>
  <r>
    <x v="0"/>
    <x v="0"/>
    <x v="4"/>
    <x v="5"/>
    <x v="2"/>
    <x v="0"/>
    <x v="1"/>
    <x v="2"/>
    <x v="0"/>
    <x v="1"/>
  </r>
  <r>
    <x v="0"/>
    <x v="0"/>
    <x v="4"/>
    <x v="9"/>
    <x v="0"/>
    <x v="0"/>
    <x v="1"/>
    <x v="2"/>
    <x v="0"/>
    <x v="1"/>
  </r>
  <r>
    <x v="0"/>
    <x v="0"/>
    <x v="4"/>
    <x v="22"/>
    <x v="2"/>
    <x v="0"/>
    <x v="1"/>
    <x v="2"/>
    <x v="0"/>
    <x v="1"/>
  </r>
  <r>
    <x v="0"/>
    <x v="0"/>
    <x v="4"/>
    <x v="37"/>
    <x v="1"/>
    <x v="0"/>
    <x v="1"/>
    <x v="2"/>
    <x v="0"/>
    <x v="1"/>
  </r>
  <r>
    <x v="0"/>
    <x v="5"/>
    <x v="7"/>
    <x v="13"/>
    <x v="2"/>
    <x v="0"/>
    <x v="1"/>
    <x v="2"/>
    <x v="0"/>
    <x v="1"/>
  </r>
  <r>
    <x v="0"/>
    <x v="5"/>
    <x v="7"/>
    <x v="24"/>
    <x v="2"/>
    <x v="0"/>
    <x v="1"/>
    <x v="2"/>
    <x v="0"/>
    <x v="1"/>
  </r>
  <r>
    <x v="0"/>
    <x v="5"/>
    <x v="7"/>
    <x v="25"/>
    <x v="2"/>
    <x v="0"/>
    <x v="1"/>
    <x v="2"/>
    <x v="0"/>
    <x v="1"/>
  </r>
  <r>
    <x v="0"/>
    <x v="2"/>
    <x v="6"/>
    <x v="2"/>
    <x v="0"/>
    <x v="0"/>
    <x v="1"/>
    <x v="2"/>
    <x v="0"/>
    <x v="1"/>
  </r>
  <r>
    <x v="0"/>
    <x v="2"/>
    <x v="6"/>
    <x v="22"/>
    <x v="2"/>
    <x v="0"/>
    <x v="1"/>
    <x v="2"/>
    <x v="0"/>
    <x v="1"/>
  </r>
  <r>
    <x v="0"/>
    <x v="2"/>
    <x v="6"/>
    <x v="14"/>
    <x v="1"/>
    <x v="0"/>
    <x v="1"/>
    <x v="2"/>
    <x v="0"/>
    <x v="1"/>
  </r>
  <r>
    <x v="2"/>
    <x v="14"/>
    <x v="15"/>
    <x v="47"/>
    <x v="3"/>
    <x v="1"/>
    <x v="1"/>
    <x v="0"/>
    <x v="1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Recap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1:D5" firstHeaderRow="1" firstDataRow="2" firstDataCol="1"/>
  <pivotFields count="10"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Row" compact="0" showAll="0" outline="0">
      <items count="3">
        <item x="0"/>
        <item x="1"/>
        <item t="default"/>
      </items>
    </pivotField>
    <pivotField dataField="1" compact="0" showAll="0" outline="0"/>
    <pivotField dataField="1" compact="0" showAll="0" outline="0"/>
    <pivotField dataField="1" compact="0" showAll="0" outline="0"/>
    <pivotField compact="0" showAll="0" outline="0"/>
  </pivotFields>
  <rowFields count="1">
    <field x="5"/>
  </rowFields>
  <colFields count="1">
    <field x="-2"/>
  </colFields>
  <dataFields count="3">
    <dataField name="SUM of Estimation" fld="6" subtotal="sum" numFmtId="164"/>
    <dataField name="SUM of Temps passé" fld="7" subtotal="sum" numFmtId="164"/>
    <dataField name="SUM of Reste à faire" fld="8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6.25"/>
  </cols>
  <sheetData>
    <row r="1" customFormat="false" ht="15.75" hidden="false" customHeight="false" outlineLevel="0" collapsed="false">
      <c r="A1" s="1" t="s">
        <v>0</v>
      </c>
      <c r="B1" s="1" t="s">
        <v>1</v>
      </c>
    </row>
    <row r="2" customFormat="false" ht="15.75" hidden="false" customHeight="false" outlineLevel="0" collapsed="false">
      <c r="A2" s="1"/>
      <c r="B2" s="1"/>
    </row>
    <row r="3" customFormat="false" ht="15.75" hidden="false" customHeight="false" outlineLevel="0" collapsed="false">
      <c r="A3" s="1"/>
      <c r="B3" s="1"/>
    </row>
    <row r="4" customFormat="false" ht="15.75" hidden="false" customHeight="false" outlineLevel="0" collapsed="false">
      <c r="A4" s="1"/>
      <c r="B4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93"/>
  <sheetViews>
    <sheetView showFormulas="false" showGridLines="true" showRowColHeaders="true" showZeros="true" rightToLeft="false" tabSelected="false" showOutlineSymbols="true" defaultGridColor="true" view="normal" topLeftCell="A43" colorId="64" zoomScale="100" zoomScaleNormal="100" zoomScalePageLayoutView="100" workbookViewId="0">
      <selection pane="topLeft" activeCell="E66" activeCellId="0" sqref="E66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0.63"/>
    <col collapsed="false" customWidth="true" hidden="false" outlineLevel="0" max="2" min="2" style="0" width="22.13"/>
    <col collapsed="false" customWidth="true" hidden="false" outlineLevel="0" max="3" min="3" style="0" width="21.88"/>
    <col collapsed="false" customWidth="true" hidden="false" outlineLevel="0" max="4" min="4" style="0" width="23.25"/>
    <col collapsed="false" customWidth="true" hidden="false" outlineLevel="0" max="5" min="5" style="0" width="66.75"/>
    <col collapsed="false" customWidth="true" hidden="false" outlineLevel="0" max="6" min="6" style="0" width="18.13"/>
    <col collapsed="false" customWidth="true" hidden="false" outlineLevel="0" max="7" min="7" style="0" width="16.63"/>
  </cols>
  <sheetData>
    <row r="1" customFormat="false" ht="15.75" hidden="false" customHeight="false" outlineLevel="0" collapsed="false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</row>
    <row r="2" customFormat="false" ht="15.75" hidden="false" customHeight="false" outlineLevel="0" collapsed="false">
      <c r="A2" s="4" t="n">
        <v>1</v>
      </c>
      <c r="B2" s="4" t="s">
        <v>13</v>
      </c>
      <c r="C2" s="4" t="s">
        <v>14</v>
      </c>
      <c r="D2" s="4" t="s">
        <v>15</v>
      </c>
      <c r="E2" s="4" t="s">
        <v>13</v>
      </c>
      <c r="F2" s="4" t="s">
        <v>0</v>
      </c>
      <c r="G2" s="4" t="n">
        <v>60</v>
      </c>
      <c r="H2" s="4" t="n">
        <v>60</v>
      </c>
      <c r="I2" s="5" t="n">
        <f aca="false">detail_avancement!B2</f>
        <v>60</v>
      </c>
      <c r="J2" s="5" t="n">
        <f aca="false">H2-I2</f>
        <v>0</v>
      </c>
      <c r="K2" s="6" t="n">
        <f aca="false">(I2/(I2+J2))</f>
        <v>1</v>
      </c>
    </row>
    <row r="3" customFormat="false" ht="15.75" hidden="false" customHeight="false" outlineLevel="0" collapsed="false">
      <c r="A3" s="4" t="n">
        <v>2</v>
      </c>
      <c r="B3" s="4" t="s">
        <v>13</v>
      </c>
      <c r="C3" s="4" t="s">
        <v>16</v>
      </c>
      <c r="D3" s="4" t="s">
        <v>17</v>
      </c>
      <c r="E3" s="4" t="s">
        <v>18</v>
      </c>
      <c r="F3" s="4" t="s">
        <v>0</v>
      </c>
      <c r="G3" s="4" t="n">
        <v>60</v>
      </c>
      <c r="H3" s="4" t="n">
        <v>60</v>
      </c>
      <c r="I3" s="5" t="n">
        <f aca="false">detail_avancement!B3</f>
        <v>60</v>
      </c>
      <c r="J3" s="5" t="n">
        <f aca="false">H3-I3</f>
        <v>0</v>
      </c>
      <c r="K3" s="6" t="n">
        <f aca="false">(I3/(I3+J3))</f>
        <v>1</v>
      </c>
    </row>
    <row r="4" customFormat="false" ht="15.75" hidden="false" customHeight="false" outlineLevel="0" collapsed="false">
      <c r="A4" s="4" t="n">
        <v>3</v>
      </c>
      <c r="B4" s="4" t="s">
        <v>13</v>
      </c>
      <c r="C4" s="4" t="s">
        <v>16</v>
      </c>
      <c r="D4" s="4" t="s">
        <v>19</v>
      </c>
      <c r="E4" s="4" t="s">
        <v>18</v>
      </c>
      <c r="F4" s="4" t="s">
        <v>0</v>
      </c>
      <c r="G4" s="4" t="n">
        <v>60</v>
      </c>
      <c r="H4" s="4" t="n">
        <v>60</v>
      </c>
      <c r="I4" s="5" t="n">
        <f aca="false">detail_avancement!B4</f>
        <v>60</v>
      </c>
      <c r="J4" s="5" t="n">
        <f aca="false">H4-I4</f>
        <v>0</v>
      </c>
      <c r="K4" s="6" t="n">
        <f aca="false">(I4/(I4+J4))</f>
        <v>1</v>
      </c>
    </row>
    <row r="5" customFormat="false" ht="15.75" hidden="false" customHeight="false" outlineLevel="0" collapsed="false">
      <c r="A5" s="4" t="n">
        <v>4</v>
      </c>
      <c r="B5" s="4" t="s">
        <v>13</v>
      </c>
      <c r="C5" s="4" t="s">
        <v>16</v>
      </c>
      <c r="D5" s="4" t="s">
        <v>20</v>
      </c>
      <c r="E5" s="4" t="s">
        <v>18</v>
      </c>
      <c r="F5" s="4" t="s">
        <v>0</v>
      </c>
      <c r="G5" s="4" t="n">
        <v>60</v>
      </c>
      <c r="H5" s="4" t="n">
        <v>60</v>
      </c>
      <c r="I5" s="5" t="n">
        <f aca="false">detail_avancement!B5</f>
        <v>60</v>
      </c>
      <c r="J5" s="5" t="n">
        <f aca="false">H5-I5</f>
        <v>0</v>
      </c>
      <c r="K5" s="6" t="n">
        <f aca="false">(I5/(I5+J5))</f>
        <v>1</v>
      </c>
    </row>
    <row r="6" customFormat="false" ht="15.75" hidden="false" customHeight="false" outlineLevel="0" collapsed="false">
      <c r="A6" s="4" t="n">
        <v>5</v>
      </c>
      <c r="B6" s="4" t="s">
        <v>21</v>
      </c>
      <c r="C6" s="4" t="s">
        <v>22</v>
      </c>
      <c r="D6" s="4" t="s">
        <v>23</v>
      </c>
      <c r="E6" s="4" t="s">
        <v>18</v>
      </c>
      <c r="F6" s="4" t="s">
        <v>0</v>
      </c>
      <c r="G6" s="4" t="n">
        <v>60</v>
      </c>
      <c r="H6" s="4" t="n">
        <v>60</v>
      </c>
      <c r="I6" s="5" t="n">
        <f aca="false">detail_avancement!B6</f>
        <v>60</v>
      </c>
      <c r="J6" s="5" t="n">
        <f aca="false">H6-I6</f>
        <v>0</v>
      </c>
      <c r="K6" s="6" t="n">
        <f aca="false">(I6/(I6+J6))</f>
        <v>1</v>
      </c>
    </row>
    <row r="7" customFormat="false" ht="15.75" hidden="false" customHeight="false" outlineLevel="0" collapsed="false">
      <c r="A7" s="4" t="n">
        <v>6</v>
      </c>
      <c r="B7" s="4" t="s">
        <v>21</v>
      </c>
      <c r="C7" s="4" t="s">
        <v>22</v>
      </c>
      <c r="D7" s="4" t="s">
        <v>24</v>
      </c>
      <c r="E7" s="4" t="s">
        <v>18</v>
      </c>
      <c r="F7" s="4" t="s">
        <v>0</v>
      </c>
      <c r="G7" s="4" t="n">
        <v>60</v>
      </c>
      <c r="H7" s="4" t="n">
        <v>60</v>
      </c>
      <c r="I7" s="5" t="n">
        <f aca="false">detail_avancement!B7</f>
        <v>60</v>
      </c>
      <c r="J7" s="5" t="n">
        <f aca="false">H7-I7</f>
        <v>0</v>
      </c>
      <c r="K7" s="6" t="n">
        <f aca="false">(I7/(I7+J7))</f>
        <v>1</v>
      </c>
    </row>
    <row r="8" customFormat="false" ht="15.75" hidden="false" customHeight="false" outlineLevel="0" collapsed="false">
      <c r="A8" s="4" t="n">
        <v>7</v>
      </c>
      <c r="B8" s="4" t="s">
        <v>21</v>
      </c>
      <c r="C8" s="4" t="s">
        <v>25</v>
      </c>
      <c r="D8" s="4" t="s">
        <v>26</v>
      </c>
      <c r="E8" s="4" t="s">
        <v>27</v>
      </c>
      <c r="F8" s="4" t="s">
        <v>0</v>
      </c>
      <c r="G8" s="4" t="n">
        <v>60</v>
      </c>
      <c r="H8" s="4" t="n">
        <v>60</v>
      </c>
      <c r="I8" s="5" t="n">
        <f aca="false">detail_avancement!B8</f>
        <v>60</v>
      </c>
      <c r="J8" s="5" t="n">
        <f aca="false">H8-I8</f>
        <v>0</v>
      </c>
      <c r="K8" s="6" t="n">
        <f aca="false">(I8/(I8+J8))</f>
        <v>1</v>
      </c>
    </row>
    <row r="9" customFormat="false" ht="15.75" hidden="false" customHeight="false" outlineLevel="0" collapsed="false">
      <c r="A9" s="4" t="n">
        <v>8</v>
      </c>
      <c r="B9" s="4" t="s">
        <v>21</v>
      </c>
      <c r="C9" s="4" t="s">
        <v>25</v>
      </c>
      <c r="D9" s="4" t="s">
        <v>28</v>
      </c>
      <c r="E9" s="4" t="s">
        <v>18</v>
      </c>
      <c r="F9" s="4" t="s">
        <v>0</v>
      </c>
      <c r="G9" s="4" t="n">
        <v>60</v>
      </c>
      <c r="H9" s="4" t="n">
        <v>60</v>
      </c>
      <c r="I9" s="5" t="n">
        <f aca="false">detail_avancement!B9</f>
        <v>60</v>
      </c>
      <c r="J9" s="5" t="n">
        <f aca="false">H9-I9</f>
        <v>0</v>
      </c>
      <c r="K9" s="6" t="n">
        <f aca="false">(I9/(I9+J9))</f>
        <v>1</v>
      </c>
    </row>
    <row r="10" customFormat="false" ht="15.75" hidden="false" customHeight="false" outlineLevel="0" collapsed="false">
      <c r="A10" s="4" t="n">
        <v>9</v>
      </c>
      <c r="B10" s="4" t="s">
        <v>22</v>
      </c>
      <c r="C10" s="4" t="s">
        <v>29</v>
      </c>
      <c r="D10" s="4" t="s">
        <v>30</v>
      </c>
      <c r="E10" s="4" t="s">
        <v>18</v>
      </c>
      <c r="F10" s="4" t="s">
        <v>0</v>
      </c>
      <c r="G10" s="4" t="n">
        <v>60</v>
      </c>
      <c r="H10" s="4" t="n">
        <v>60</v>
      </c>
      <c r="I10" s="5" t="n">
        <f aca="false">detail_avancement!B10</f>
        <v>60</v>
      </c>
      <c r="J10" s="5" t="n">
        <f aca="false">H10-I10</f>
        <v>0</v>
      </c>
      <c r="K10" s="6" t="n">
        <f aca="false">(I10/(I10+J10))</f>
        <v>1</v>
      </c>
    </row>
    <row r="11" customFormat="false" ht="15.75" hidden="false" customHeight="false" outlineLevel="0" collapsed="false">
      <c r="A11" s="4" t="n">
        <v>10</v>
      </c>
      <c r="B11" s="4" t="s">
        <v>22</v>
      </c>
      <c r="C11" s="4" t="s">
        <v>29</v>
      </c>
      <c r="D11" s="4" t="s">
        <v>31</v>
      </c>
      <c r="E11" s="4" t="s">
        <v>27</v>
      </c>
      <c r="F11" s="4" t="s">
        <v>0</v>
      </c>
      <c r="G11" s="4" t="n">
        <v>60</v>
      </c>
      <c r="H11" s="4" t="n">
        <v>60</v>
      </c>
      <c r="I11" s="5" t="n">
        <f aca="false">detail_avancement!B11</f>
        <v>60</v>
      </c>
      <c r="J11" s="5" t="n">
        <f aca="false">H11-I11</f>
        <v>0</v>
      </c>
      <c r="K11" s="6" t="n">
        <f aca="false">(I11/(I11+J11))</f>
        <v>1</v>
      </c>
    </row>
    <row r="12" customFormat="false" ht="15.75" hidden="false" customHeight="false" outlineLevel="0" collapsed="false">
      <c r="A12" s="4" t="n">
        <v>11</v>
      </c>
      <c r="B12" s="4" t="s">
        <v>22</v>
      </c>
      <c r="C12" s="4" t="s">
        <v>29</v>
      </c>
      <c r="D12" s="4" t="s">
        <v>32</v>
      </c>
      <c r="E12" s="4" t="s">
        <v>33</v>
      </c>
      <c r="F12" s="4" t="s">
        <v>0</v>
      </c>
      <c r="G12" s="4" t="n">
        <v>60</v>
      </c>
      <c r="H12" s="4" t="n">
        <v>60</v>
      </c>
      <c r="I12" s="5" t="n">
        <f aca="false">detail_avancement!B12</f>
        <v>60</v>
      </c>
      <c r="J12" s="5" t="n">
        <f aca="false">H12-I12</f>
        <v>0</v>
      </c>
      <c r="K12" s="6" t="n">
        <f aca="false">(I12/(I12+J12))</f>
        <v>1</v>
      </c>
    </row>
    <row r="13" customFormat="false" ht="15.75" hidden="false" customHeight="false" outlineLevel="0" collapsed="false">
      <c r="A13" s="4" t="n">
        <v>12</v>
      </c>
      <c r="B13" s="4" t="s">
        <v>22</v>
      </c>
      <c r="C13" s="4" t="s">
        <v>29</v>
      </c>
      <c r="D13" s="4" t="s">
        <v>34</v>
      </c>
      <c r="E13" s="4" t="s">
        <v>18</v>
      </c>
      <c r="F13" s="4" t="s">
        <v>0</v>
      </c>
      <c r="G13" s="4" t="n">
        <v>60</v>
      </c>
      <c r="H13" s="4" t="n">
        <v>60</v>
      </c>
      <c r="I13" s="5" t="n">
        <f aca="false">detail_avancement!B13</f>
        <v>60</v>
      </c>
      <c r="J13" s="5" t="n">
        <f aca="false">H13-I13</f>
        <v>0</v>
      </c>
      <c r="K13" s="6" t="n">
        <f aca="false">(I13/(I13+J13))</f>
        <v>1</v>
      </c>
    </row>
    <row r="14" customFormat="false" ht="23.85" hidden="false" customHeight="false" outlineLevel="0" collapsed="false">
      <c r="A14" s="4" t="n">
        <v>13</v>
      </c>
      <c r="B14" s="4" t="s">
        <v>22</v>
      </c>
      <c r="C14" s="4" t="s">
        <v>35</v>
      </c>
      <c r="D14" s="4" t="s">
        <v>36</v>
      </c>
      <c r="E14" s="4" t="s">
        <v>27</v>
      </c>
      <c r="F14" s="4" t="s">
        <v>0</v>
      </c>
      <c r="G14" s="4" t="n">
        <v>60</v>
      </c>
      <c r="H14" s="4" t="n">
        <v>60</v>
      </c>
      <c r="I14" s="5" t="n">
        <f aca="false">detail_avancement!B14</f>
        <v>60</v>
      </c>
      <c r="J14" s="5" t="n">
        <f aca="false">H14-I14</f>
        <v>0</v>
      </c>
      <c r="K14" s="6" t="n">
        <f aca="false">(I14/(I14+J14))</f>
        <v>1</v>
      </c>
    </row>
    <row r="15" customFormat="false" ht="15.75" hidden="false" customHeight="false" outlineLevel="0" collapsed="false">
      <c r="A15" s="4" t="n">
        <v>14</v>
      </c>
      <c r="B15" s="4" t="s">
        <v>22</v>
      </c>
      <c r="C15" s="4" t="s">
        <v>35</v>
      </c>
      <c r="D15" s="4" t="s">
        <v>37</v>
      </c>
      <c r="E15" s="4" t="s">
        <v>18</v>
      </c>
      <c r="F15" s="4" t="s">
        <v>0</v>
      </c>
      <c r="G15" s="4" t="n">
        <v>60</v>
      </c>
      <c r="H15" s="4" t="n">
        <v>60</v>
      </c>
      <c r="I15" s="5" t="n">
        <f aca="false">detail_avancement!B15</f>
        <v>60</v>
      </c>
      <c r="J15" s="5" t="n">
        <f aca="false">H15-I15</f>
        <v>0</v>
      </c>
      <c r="K15" s="6" t="n">
        <f aca="false">(I15/(I15+J15))</f>
        <v>1</v>
      </c>
    </row>
    <row r="16" customFormat="false" ht="15.75" hidden="false" customHeight="false" outlineLevel="0" collapsed="false">
      <c r="A16" s="4" t="n">
        <v>15</v>
      </c>
      <c r="B16" s="4" t="s">
        <v>22</v>
      </c>
      <c r="C16" s="4" t="s">
        <v>35</v>
      </c>
      <c r="D16" s="4" t="s">
        <v>38</v>
      </c>
      <c r="E16" s="4" t="s">
        <v>18</v>
      </c>
      <c r="F16" s="4" t="s">
        <v>0</v>
      </c>
      <c r="G16" s="4" t="n">
        <v>60</v>
      </c>
      <c r="H16" s="4" t="n">
        <v>60</v>
      </c>
      <c r="I16" s="5" t="n">
        <f aca="false">detail_avancement!B16</f>
        <v>60</v>
      </c>
      <c r="J16" s="5" t="n">
        <f aca="false">H16-I16</f>
        <v>0</v>
      </c>
      <c r="K16" s="6" t="n">
        <f aca="false">(I16/(I16+J16))</f>
        <v>1</v>
      </c>
    </row>
    <row r="17" customFormat="false" ht="15.75" hidden="false" customHeight="false" outlineLevel="0" collapsed="false">
      <c r="A17" s="4" t="n">
        <v>16</v>
      </c>
      <c r="B17" s="4" t="s">
        <v>39</v>
      </c>
      <c r="C17" s="4" t="s">
        <v>40</v>
      </c>
      <c r="D17" s="4" t="s">
        <v>41</v>
      </c>
      <c r="E17" s="4" t="s">
        <v>18</v>
      </c>
      <c r="F17" s="4" t="s">
        <v>0</v>
      </c>
      <c r="G17" s="4" t="n">
        <v>60</v>
      </c>
      <c r="H17" s="4" t="n">
        <v>60</v>
      </c>
      <c r="I17" s="5" t="n">
        <f aca="false">detail_avancement!B17</f>
        <v>60</v>
      </c>
      <c r="J17" s="5" t="n">
        <f aca="false">H17-I17</f>
        <v>0</v>
      </c>
      <c r="K17" s="6" t="n">
        <f aca="false">(I17/(I17+J17))</f>
        <v>1</v>
      </c>
    </row>
    <row r="18" customFormat="false" ht="15.75" hidden="false" customHeight="false" outlineLevel="0" collapsed="false">
      <c r="A18" s="4" t="n">
        <v>17</v>
      </c>
      <c r="B18" s="4" t="s">
        <v>39</v>
      </c>
      <c r="C18" s="4" t="s">
        <v>40</v>
      </c>
      <c r="D18" s="4" t="s">
        <v>42</v>
      </c>
      <c r="E18" s="4" t="s">
        <v>33</v>
      </c>
      <c r="F18" s="4" t="s">
        <v>0</v>
      </c>
      <c r="G18" s="4" t="n">
        <v>60</v>
      </c>
      <c r="H18" s="4" t="n">
        <v>60</v>
      </c>
      <c r="I18" s="5" t="n">
        <f aca="false">detail_avancement!B18</f>
        <v>60</v>
      </c>
      <c r="J18" s="5" t="n">
        <f aca="false">H18-I18</f>
        <v>0</v>
      </c>
      <c r="K18" s="6" t="n">
        <f aca="false">(I18/(I18+J18))</f>
        <v>1</v>
      </c>
    </row>
    <row r="19" customFormat="false" ht="15.75" hidden="false" customHeight="false" outlineLevel="0" collapsed="false">
      <c r="A19" s="4" t="n">
        <v>18</v>
      </c>
      <c r="B19" s="4" t="s">
        <v>39</v>
      </c>
      <c r="C19" s="4" t="s">
        <v>40</v>
      </c>
      <c r="D19" s="4" t="s">
        <v>43</v>
      </c>
      <c r="E19" s="4" t="s">
        <v>33</v>
      </c>
      <c r="F19" s="4" t="s">
        <v>0</v>
      </c>
      <c r="G19" s="4" t="n">
        <v>60</v>
      </c>
      <c r="H19" s="4" t="n">
        <v>60</v>
      </c>
      <c r="I19" s="5" t="n">
        <f aca="false">detail_avancement!B19</f>
        <v>60</v>
      </c>
      <c r="J19" s="5" t="n">
        <f aca="false">H19-I19</f>
        <v>0</v>
      </c>
      <c r="K19" s="6" t="n">
        <f aca="false">(I19/(I19+J19))</f>
        <v>1</v>
      </c>
    </row>
    <row r="20" customFormat="false" ht="15.75" hidden="false" customHeight="false" outlineLevel="0" collapsed="false">
      <c r="A20" s="4" t="n">
        <v>19</v>
      </c>
      <c r="B20" s="4" t="s">
        <v>39</v>
      </c>
      <c r="C20" s="4" t="s">
        <v>44</v>
      </c>
      <c r="D20" s="4" t="s">
        <v>45</v>
      </c>
      <c r="E20" s="4" t="s">
        <v>33</v>
      </c>
      <c r="F20" s="4" t="s">
        <v>0</v>
      </c>
      <c r="G20" s="4" t="n">
        <v>60</v>
      </c>
      <c r="H20" s="4" t="n">
        <v>60</v>
      </c>
      <c r="I20" s="5" t="n">
        <f aca="false">detail_avancement!B20</f>
        <v>60</v>
      </c>
      <c r="J20" s="5" t="n">
        <f aca="false">H20-I20</f>
        <v>0</v>
      </c>
      <c r="K20" s="6" t="n">
        <f aca="false">(I20/(I20+J20))</f>
        <v>1</v>
      </c>
    </row>
    <row r="21" customFormat="false" ht="15.75" hidden="false" customHeight="false" outlineLevel="0" collapsed="false">
      <c r="A21" s="4" t="n">
        <v>20</v>
      </c>
      <c r="B21" s="4" t="s">
        <v>39</v>
      </c>
      <c r="C21" s="4" t="s">
        <v>44</v>
      </c>
      <c r="D21" s="4" t="s">
        <v>46</v>
      </c>
      <c r="E21" s="4" t="s">
        <v>33</v>
      </c>
      <c r="F21" s="4" t="s">
        <v>0</v>
      </c>
      <c r="G21" s="4" t="n">
        <v>60</v>
      </c>
      <c r="H21" s="4" t="n">
        <v>60</v>
      </c>
      <c r="I21" s="5" t="n">
        <f aca="false">detail_avancement!B21</f>
        <v>60</v>
      </c>
      <c r="J21" s="5" t="n">
        <f aca="false">H21-I21</f>
        <v>0</v>
      </c>
      <c r="K21" s="6" t="n">
        <f aca="false">(I21/(I21+J21))</f>
        <v>1</v>
      </c>
    </row>
    <row r="22" customFormat="false" ht="15.75" hidden="false" customHeight="false" outlineLevel="0" collapsed="false">
      <c r="A22" s="4" t="n">
        <v>21</v>
      </c>
      <c r="B22" s="4" t="s">
        <v>39</v>
      </c>
      <c r="C22" s="4" t="s">
        <v>47</v>
      </c>
      <c r="D22" s="4" t="s">
        <v>48</v>
      </c>
      <c r="E22" s="4" t="s">
        <v>33</v>
      </c>
      <c r="F22" s="4" t="s">
        <v>0</v>
      </c>
      <c r="G22" s="4" t="n">
        <v>60</v>
      </c>
      <c r="H22" s="4" t="n">
        <v>60</v>
      </c>
      <c r="I22" s="5" t="n">
        <f aca="false">detail_avancement!B22</f>
        <v>60</v>
      </c>
      <c r="J22" s="5" t="n">
        <f aca="false">H22-I22</f>
        <v>0</v>
      </c>
      <c r="K22" s="6" t="n">
        <f aca="false">(I22/(I22+J22))</f>
        <v>1</v>
      </c>
    </row>
    <row r="23" customFormat="false" ht="15.75" hidden="false" customHeight="false" outlineLevel="0" collapsed="false">
      <c r="A23" s="4" t="n">
        <v>22</v>
      </c>
      <c r="B23" s="4" t="s">
        <v>39</v>
      </c>
      <c r="C23" s="4" t="s">
        <v>47</v>
      </c>
      <c r="D23" s="4" t="s">
        <v>49</v>
      </c>
      <c r="E23" s="4" t="s">
        <v>18</v>
      </c>
      <c r="F23" s="4" t="s">
        <v>0</v>
      </c>
      <c r="G23" s="4" t="n">
        <v>60</v>
      </c>
      <c r="H23" s="4" t="n">
        <v>60</v>
      </c>
      <c r="I23" s="5" t="n">
        <f aca="false">detail_avancement!B23</f>
        <v>60</v>
      </c>
      <c r="J23" s="5" t="n">
        <f aca="false">H23-I23</f>
        <v>0</v>
      </c>
      <c r="K23" s="6" t="n">
        <f aca="false">(I23/(I23+J23))</f>
        <v>1</v>
      </c>
    </row>
    <row r="24" customFormat="false" ht="15.75" hidden="false" customHeight="false" outlineLevel="0" collapsed="false">
      <c r="A24" s="4" t="n">
        <v>23</v>
      </c>
      <c r="B24" s="4" t="s">
        <v>39</v>
      </c>
      <c r="C24" s="4" t="s">
        <v>47</v>
      </c>
      <c r="D24" s="4" t="s">
        <v>50</v>
      </c>
      <c r="E24" s="4" t="s">
        <v>18</v>
      </c>
      <c r="F24" s="4" t="s">
        <v>0</v>
      </c>
      <c r="G24" s="4" t="n">
        <v>60</v>
      </c>
      <c r="H24" s="4" t="n">
        <v>60</v>
      </c>
      <c r="I24" s="5" t="n">
        <f aca="false">detail_avancement!B24</f>
        <v>60</v>
      </c>
      <c r="J24" s="5" t="n">
        <f aca="false">H24-I24</f>
        <v>0</v>
      </c>
      <c r="K24" s="6" t="n">
        <f aca="false">(I24/(I24+J24))</f>
        <v>1</v>
      </c>
    </row>
    <row r="25" customFormat="false" ht="23.85" hidden="false" customHeight="false" outlineLevel="0" collapsed="false">
      <c r="A25" s="4" t="n">
        <v>24</v>
      </c>
      <c r="B25" s="4" t="s">
        <v>51</v>
      </c>
      <c r="C25" s="4" t="s">
        <v>52</v>
      </c>
      <c r="D25" s="4" t="s">
        <v>53</v>
      </c>
      <c r="E25" s="4" t="s">
        <v>27</v>
      </c>
      <c r="F25" s="4" t="s">
        <v>0</v>
      </c>
      <c r="G25" s="4" t="n">
        <v>60</v>
      </c>
      <c r="H25" s="4" t="n">
        <v>60</v>
      </c>
      <c r="I25" s="5" t="n">
        <f aca="false">detail_avancement!B25</f>
        <v>60</v>
      </c>
      <c r="J25" s="5" t="n">
        <f aca="false">H25-I25</f>
        <v>0</v>
      </c>
      <c r="K25" s="6" t="n">
        <f aca="false">(I25/(I25+J25))</f>
        <v>1</v>
      </c>
    </row>
    <row r="26" customFormat="false" ht="15.75" hidden="false" customHeight="false" outlineLevel="0" collapsed="false">
      <c r="A26" s="4" t="n">
        <v>25</v>
      </c>
      <c r="B26" s="4" t="s">
        <v>51</v>
      </c>
      <c r="C26" s="4" t="s">
        <v>52</v>
      </c>
      <c r="D26" s="4" t="s">
        <v>54</v>
      </c>
      <c r="E26" s="4" t="s">
        <v>33</v>
      </c>
      <c r="F26" s="4" t="s">
        <v>0</v>
      </c>
      <c r="G26" s="4" t="n">
        <v>60</v>
      </c>
      <c r="H26" s="4" t="n">
        <v>60</v>
      </c>
      <c r="I26" s="5" t="n">
        <f aca="false">detail_avancement!B26</f>
        <v>60</v>
      </c>
      <c r="J26" s="5" t="n">
        <f aca="false">H26-I26</f>
        <v>0</v>
      </c>
      <c r="K26" s="6" t="n">
        <f aca="false">(I26/(I26+J26))</f>
        <v>1</v>
      </c>
    </row>
    <row r="27" customFormat="false" ht="15.75" hidden="false" customHeight="false" outlineLevel="0" collapsed="false">
      <c r="A27" s="4" t="n">
        <v>26</v>
      </c>
      <c r="B27" s="4" t="s">
        <v>51</v>
      </c>
      <c r="C27" s="4" t="s">
        <v>52</v>
      </c>
      <c r="D27" s="4" t="s">
        <v>55</v>
      </c>
      <c r="E27" s="4" t="s">
        <v>18</v>
      </c>
      <c r="F27" s="4" t="s">
        <v>0</v>
      </c>
      <c r="G27" s="4" t="n">
        <v>60</v>
      </c>
      <c r="H27" s="4" t="n">
        <v>60</v>
      </c>
      <c r="I27" s="5" t="n">
        <f aca="false">detail_avancement!B27</f>
        <v>60</v>
      </c>
      <c r="J27" s="5" t="n">
        <f aca="false">H27-I27</f>
        <v>0</v>
      </c>
      <c r="K27" s="6" t="n">
        <f aca="false">(I27/(I27+J27))</f>
        <v>1</v>
      </c>
    </row>
    <row r="28" customFormat="false" ht="15.75" hidden="false" customHeight="false" outlineLevel="0" collapsed="false">
      <c r="A28" s="4" t="n">
        <v>27</v>
      </c>
      <c r="B28" s="4" t="s">
        <v>51</v>
      </c>
      <c r="C28" s="4" t="s">
        <v>52</v>
      </c>
      <c r="D28" s="4" t="s">
        <v>56</v>
      </c>
      <c r="E28" s="4" t="s">
        <v>27</v>
      </c>
      <c r="F28" s="4" t="s">
        <v>0</v>
      </c>
      <c r="G28" s="4" t="n">
        <v>60</v>
      </c>
      <c r="H28" s="4" t="n">
        <v>60</v>
      </c>
      <c r="I28" s="5" t="n">
        <f aca="false">detail_avancement!B28</f>
        <v>60</v>
      </c>
      <c r="J28" s="5" t="n">
        <f aca="false">H28-I28</f>
        <v>0</v>
      </c>
      <c r="K28" s="6" t="n">
        <f aca="false">(I28/(I28+J28))</f>
        <v>1</v>
      </c>
    </row>
    <row r="29" customFormat="false" ht="15.75" hidden="false" customHeight="false" outlineLevel="0" collapsed="false">
      <c r="A29" s="4" t="n">
        <v>28</v>
      </c>
      <c r="B29" s="4" t="s">
        <v>51</v>
      </c>
      <c r="C29" s="4" t="s">
        <v>57</v>
      </c>
      <c r="D29" s="4" t="s">
        <v>58</v>
      </c>
      <c r="E29" s="4" t="s">
        <v>27</v>
      </c>
      <c r="F29" s="4" t="s">
        <v>0</v>
      </c>
      <c r="G29" s="4" t="n">
        <v>60</v>
      </c>
      <c r="H29" s="4" t="n">
        <v>60</v>
      </c>
      <c r="I29" s="5" t="n">
        <f aca="false">detail_avancement!B29</f>
        <v>60</v>
      </c>
      <c r="J29" s="5" t="n">
        <f aca="false">H29-I29</f>
        <v>0</v>
      </c>
      <c r="K29" s="6" t="n">
        <f aca="false">(I29/(I29+J29))</f>
        <v>1</v>
      </c>
    </row>
    <row r="30" customFormat="false" ht="15.75" hidden="false" customHeight="false" outlineLevel="0" collapsed="false">
      <c r="A30" s="4" t="n">
        <v>29</v>
      </c>
      <c r="B30" s="4" t="s">
        <v>51</v>
      </c>
      <c r="C30" s="4" t="s">
        <v>57</v>
      </c>
      <c r="D30" s="4" t="s">
        <v>59</v>
      </c>
      <c r="E30" s="4" t="s">
        <v>27</v>
      </c>
      <c r="F30" s="4" t="s">
        <v>0</v>
      </c>
      <c r="G30" s="4" t="n">
        <v>60</v>
      </c>
      <c r="H30" s="4" t="n">
        <v>60</v>
      </c>
      <c r="I30" s="5" t="n">
        <f aca="false">detail_avancement!B30</f>
        <v>60</v>
      </c>
      <c r="J30" s="5" t="n">
        <f aca="false">H30-I30</f>
        <v>0</v>
      </c>
      <c r="K30" s="6" t="n">
        <f aca="false">(I30/(I30+J30))</f>
        <v>1</v>
      </c>
    </row>
    <row r="31" customFormat="false" ht="15.75" hidden="false" customHeight="false" outlineLevel="0" collapsed="false">
      <c r="A31" s="4" t="n">
        <v>30</v>
      </c>
      <c r="B31" s="4" t="s">
        <v>51</v>
      </c>
      <c r="C31" s="4" t="s">
        <v>57</v>
      </c>
      <c r="D31" s="4" t="s">
        <v>60</v>
      </c>
      <c r="E31" s="4" t="s">
        <v>18</v>
      </c>
      <c r="F31" s="4" t="s">
        <v>0</v>
      </c>
      <c r="G31" s="4" t="n">
        <v>60</v>
      </c>
      <c r="H31" s="4" t="n">
        <v>60</v>
      </c>
      <c r="I31" s="5" t="n">
        <f aca="false">detail_avancement!B31</f>
        <v>60</v>
      </c>
      <c r="J31" s="5" t="n">
        <f aca="false">H31-I31</f>
        <v>0</v>
      </c>
      <c r="K31" s="6" t="n">
        <f aca="false">(I31/(I31+J31))</f>
        <v>1</v>
      </c>
    </row>
    <row r="32" customFormat="false" ht="15.75" hidden="false" customHeight="false" outlineLevel="0" collapsed="false">
      <c r="A32" s="4" t="n">
        <v>31</v>
      </c>
      <c r="B32" s="4" t="s">
        <v>51</v>
      </c>
      <c r="C32" s="4" t="s">
        <v>57</v>
      </c>
      <c r="D32" s="4" t="s">
        <v>61</v>
      </c>
      <c r="E32" s="4" t="s">
        <v>62</v>
      </c>
      <c r="F32" s="4" t="s">
        <v>0</v>
      </c>
      <c r="G32" s="4" t="n">
        <v>60</v>
      </c>
      <c r="H32" s="4" t="n">
        <v>60</v>
      </c>
      <c r="I32" s="5" t="n">
        <f aca="false">detail_avancement!B32</f>
        <v>60</v>
      </c>
      <c r="J32" s="5" t="n">
        <f aca="false">H32-I32</f>
        <v>0</v>
      </c>
      <c r="K32" s="6" t="n">
        <f aca="false">(I32/(I32+J32))</f>
        <v>1</v>
      </c>
    </row>
    <row r="33" customFormat="false" ht="15.75" hidden="false" customHeight="false" outlineLevel="0" collapsed="false">
      <c r="A33" s="4" t="n">
        <v>32</v>
      </c>
      <c r="B33" s="4" t="s">
        <v>51</v>
      </c>
      <c r="C33" s="4" t="s">
        <v>63</v>
      </c>
      <c r="D33" s="4" t="s">
        <v>64</v>
      </c>
      <c r="E33" s="4" t="s">
        <v>62</v>
      </c>
      <c r="F33" s="4" t="s">
        <v>0</v>
      </c>
      <c r="G33" s="4" t="n">
        <v>60</v>
      </c>
      <c r="H33" s="4" t="n">
        <v>60</v>
      </c>
      <c r="I33" s="5" t="n">
        <f aca="false">detail_avancement!B33</f>
        <v>60</v>
      </c>
      <c r="J33" s="5" t="n">
        <f aca="false">H33-I33</f>
        <v>0</v>
      </c>
      <c r="K33" s="6" t="n">
        <f aca="false">(I33/(I33+J33))</f>
        <v>1</v>
      </c>
    </row>
    <row r="34" customFormat="false" ht="15.75" hidden="false" customHeight="false" outlineLevel="0" collapsed="false">
      <c r="A34" s="4" t="n">
        <v>33</v>
      </c>
      <c r="B34" s="4" t="s">
        <v>51</v>
      </c>
      <c r="C34" s="4" t="s">
        <v>63</v>
      </c>
      <c r="D34" s="4" t="s">
        <v>65</v>
      </c>
      <c r="E34" s="4" t="s">
        <v>66</v>
      </c>
      <c r="F34" s="4" t="s">
        <v>0</v>
      </c>
      <c r="G34" s="4" t="n">
        <v>60</v>
      </c>
      <c r="H34" s="4" t="n">
        <v>60</v>
      </c>
      <c r="I34" s="5" t="n">
        <f aca="false">detail_avancement!B34</f>
        <v>60</v>
      </c>
      <c r="J34" s="5" t="n">
        <f aca="false">H34-I34</f>
        <v>0</v>
      </c>
      <c r="K34" s="6" t="n">
        <f aca="false">(I34/(I34+J34))</f>
        <v>1</v>
      </c>
    </row>
    <row r="35" customFormat="false" ht="15.75" hidden="false" customHeight="false" outlineLevel="0" collapsed="false">
      <c r="A35" s="4" t="n">
        <v>34</v>
      </c>
      <c r="B35" s="4" t="s">
        <v>51</v>
      </c>
      <c r="C35" s="4" t="s">
        <v>63</v>
      </c>
      <c r="D35" s="4" t="s">
        <v>67</v>
      </c>
      <c r="E35" s="4" t="s">
        <v>66</v>
      </c>
      <c r="F35" s="4" t="s">
        <v>0</v>
      </c>
      <c r="G35" s="4" t="n">
        <v>60</v>
      </c>
      <c r="H35" s="4" t="n">
        <v>60</v>
      </c>
      <c r="I35" s="5" t="n">
        <f aca="false">detail_avancement!B35</f>
        <v>60</v>
      </c>
      <c r="J35" s="5" t="n">
        <f aca="false">H35-I35</f>
        <v>0</v>
      </c>
      <c r="K35" s="6" t="n">
        <f aca="false">(I35/(I35+J35))</f>
        <v>1</v>
      </c>
    </row>
    <row r="36" customFormat="false" ht="15.75" hidden="false" customHeight="false" outlineLevel="0" collapsed="false">
      <c r="A36" s="4" t="n">
        <v>35</v>
      </c>
      <c r="B36" s="4" t="s">
        <v>51</v>
      </c>
      <c r="C36" s="4" t="s">
        <v>68</v>
      </c>
      <c r="D36" s="4" t="s">
        <v>69</v>
      </c>
      <c r="E36" s="4" t="s">
        <v>70</v>
      </c>
      <c r="F36" s="4" t="s">
        <v>0</v>
      </c>
      <c r="G36" s="4" t="n">
        <v>60</v>
      </c>
      <c r="H36" s="4" t="n">
        <v>60</v>
      </c>
      <c r="I36" s="5" t="n">
        <f aca="false">detail_avancement!B36</f>
        <v>60</v>
      </c>
      <c r="J36" s="5" t="n">
        <f aca="false">H36-I36</f>
        <v>0</v>
      </c>
      <c r="K36" s="6" t="n">
        <f aca="false">(I36/(I36+J36))</f>
        <v>1</v>
      </c>
    </row>
    <row r="37" customFormat="false" ht="15.75" hidden="false" customHeight="false" outlineLevel="0" collapsed="false">
      <c r="A37" s="4" t="n">
        <v>36</v>
      </c>
      <c r="B37" s="4" t="s">
        <v>51</v>
      </c>
      <c r="C37" s="4" t="s">
        <v>68</v>
      </c>
      <c r="D37" s="4" t="s">
        <v>71</v>
      </c>
      <c r="E37" s="4" t="s">
        <v>72</v>
      </c>
      <c r="F37" s="4" t="s">
        <v>0</v>
      </c>
      <c r="G37" s="4" t="n">
        <v>60</v>
      </c>
      <c r="H37" s="4" t="n">
        <v>60</v>
      </c>
      <c r="I37" s="5" t="n">
        <f aca="false">detail_avancement!B37</f>
        <v>60</v>
      </c>
      <c r="J37" s="5" t="n">
        <f aca="false">H37-I37</f>
        <v>0</v>
      </c>
      <c r="K37" s="6" t="n">
        <f aca="false">(I37/(I37+J37))</f>
        <v>1</v>
      </c>
    </row>
    <row r="38" customFormat="false" ht="15.75" hidden="false" customHeight="false" outlineLevel="0" collapsed="false">
      <c r="A38" s="4" t="n">
        <v>37</v>
      </c>
      <c r="B38" s="4" t="s">
        <v>51</v>
      </c>
      <c r="C38" s="4" t="s">
        <v>68</v>
      </c>
      <c r="D38" s="4" t="s">
        <v>73</v>
      </c>
      <c r="E38" s="4" t="s">
        <v>74</v>
      </c>
      <c r="F38" s="4" t="s">
        <v>0</v>
      </c>
      <c r="G38" s="4" t="n">
        <v>60</v>
      </c>
      <c r="H38" s="4" t="n">
        <v>60</v>
      </c>
      <c r="I38" s="5" t="n">
        <f aca="false">detail_avancement!B38</f>
        <v>60</v>
      </c>
      <c r="J38" s="5" t="n">
        <f aca="false">H38-I38</f>
        <v>0</v>
      </c>
      <c r="K38" s="6" t="n">
        <f aca="false">(I38/(I38+J38))</f>
        <v>1</v>
      </c>
    </row>
    <row r="39" customFormat="false" ht="15.75" hidden="false" customHeight="false" outlineLevel="0" collapsed="false">
      <c r="A39" s="4" t="n">
        <v>38</v>
      </c>
      <c r="B39" s="4" t="s">
        <v>75</v>
      </c>
      <c r="C39" s="4" t="s">
        <v>76</v>
      </c>
      <c r="D39" s="4" t="s">
        <v>77</v>
      </c>
      <c r="E39" s="4" t="s">
        <v>78</v>
      </c>
      <c r="F39" s="4" t="s">
        <v>0</v>
      </c>
      <c r="G39" s="4" t="n">
        <v>60</v>
      </c>
      <c r="H39" s="4" t="n">
        <v>60</v>
      </c>
      <c r="I39" s="5" t="n">
        <f aca="false">detail_avancement!B39</f>
        <v>60</v>
      </c>
      <c r="J39" s="5" t="n">
        <f aca="false">H39-I39</f>
        <v>0</v>
      </c>
      <c r="K39" s="6" t="n">
        <f aca="false">(I39/(I39+J39))</f>
        <v>1</v>
      </c>
    </row>
    <row r="40" customFormat="false" ht="15.75" hidden="false" customHeight="false" outlineLevel="0" collapsed="false">
      <c r="A40" s="4" t="n">
        <v>39</v>
      </c>
      <c r="B40" s="4" t="s">
        <v>75</v>
      </c>
      <c r="C40" s="4" t="s">
        <v>76</v>
      </c>
      <c r="D40" s="4" t="s">
        <v>79</v>
      </c>
      <c r="E40" s="4" t="s">
        <v>80</v>
      </c>
      <c r="F40" s="4" t="s">
        <v>0</v>
      </c>
      <c r="G40" s="4" t="n">
        <v>60</v>
      </c>
      <c r="H40" s="4" t="n">
        <v>60</v>
      </c>
      <c r="I40" s="5" t="n">
        <f aca="false">detail_avancement!B40</f>
        <v>60</v>
      </c>
      <c r="J40" s="5" t="n">
        <f aca="false">H40-I40</f>
        <v>0</v>
      </c>
      <c r="K40" s="6" t="n">
        <f aca="false">(I40/(I40+J40))</f>
        <v>1</v>
      </c>
    </row>
    <row r="41" customFormat="false" ht="15.75" hidden="false" customHeight="false" outlineLevel="0" collapsed="false">
      <c r="A41" s="4" t="n">
        <v>40</v>
      </c>
      <c r="B41" s="4" t="s">
        <v>75</v>
      </c>
      <c r="C41" s="4" t="s">
        <v>76</v>
      </c>
      <c r="D41" s="4" t="s">
        <v>73</v>
      </c>
      <c r="E41" s="4" t="s">
        <v>81</v>
      </c>
      <c r="F41" s="4" t="s">
        <v>0</v>
      </c>
      <c r="G41" s="4" t="n">
        <v>60</v>
      </c>
      <c r="H41" s="4" t="n">
        <v>60</v>
      </c>
      <c r="I41" s="5" t="n">
        <f aca="false">detail_avancement!B41</f>
        <v>60</v>
      </c>
      <c r="J41" s="5" t="n">
        <f aca="false">H41-I41</f>
        <v>0</v>
      </c>
      <c r="K41" s="6" t="n">
        <f aca="false">(I41/(I41+J41))</f>
        <v>1</v>
      </c>
    </row>
    <row r="42" customFormat="false" ht="15.75" hidden="false" customHeight="false" outlineLevel="0" collapsed="false">
      <c r="A42" s="4" t="n">
        <v>41</v>
      </c>
      <c r="B42" s="4" t="s">
        <v>75</v>
      </c>
      <c r="C42" s="4" t="s">
        <v>82</v>
      </c>
      <c r="D42" s="4" t="s">
        <v>83</v>
      </c>
      <c r="E42" s="4" t="s">
        <v>84</v>
      </c>
      <c r="F42" s="4" t="s">
        <v>0</v>
      </c>
      <c r="G42" s="4" t="n">
        <v>60</v>
      </c>
      <c r="H42" s="4" t="n">
        <v>60</v>
      </c>
      <c r="I42" s="5" t="n">
        <f aca="false">detail_avancement!B42</f>
        <v>60</v>
      </c>
      <c r="J42" s="5" t="n">
        <f aca="false">H42-I42</f>
        <v>0</v>
      </c>
      <c r="K42" s="6" t="n">
        <f aca="false">(I42/(I42+J42))</f>
        <v>1</v>
      </c>
    </row>
    <row r="43" customFormat="false" ht="15.75" hidden="false" customHeight="false" outlineLevel="0" collapsed="false">
      <c r="A43" s="4" t="n">
        <v>42</v>
      </c>
      <c r="B43" s="4" t="s">
        <v>75</v>
      </c>
      <c r="C43" s="4" t="s">
        <v>82</v>
      </c>
      <c r="D43" s="4" t="s">
        <v>85</v>
      </c>
      <c r="E43" s="4" t="s">
        <v>86</v>
      </c>
      <c r="F43" s="4" t="s">
        <v>0</v>
      </c>
      <c r="G43" s="4" t="n">
        <v>60</v>
      </c>
      <c r="H43" s="4" t="n">
        <v>60</v>
      </c>
      <c r="I43" s="5" t="n">
        <f aca="false">detail_avancement!B43</f>
        <v>60</v>
      </c>
      <c r="J43" s="5" t="n">
        <f aca="false">H43-I43</f>
        <v>0</v>
      </c>
      <c r="K43" s="6" t="n">
        <f aca="false">(I43/(I43+J43))</f>
        <v>1</v>
      </c>
    </row>
    <row r="44" customFormat="false" ht="15.75" hidden="false" customHeight="false" outlineLevel="0" collapsed="false">
      <c r="A44" s="4" t="n">
        <v>43</v>
      </c>
      <c r="B44" s="4" t="s">
        <v>75</v>
      </c>
      <c r="C44" s="4" t="s">
        <v>82</v>
      </c>
      <c r="D44" s="4" t="s">
        <v>87</v>
      </c>
      <c r="E44" s="4" t="s">
        <v>88</v>
      </c>
      <c r="F44" s="4" t="s">
        <v>0</v>
      </c>
      <c r="G44" s="4" t="n">
        <v>60</v>
      </c>
      <c r="H44" s="4" t="n">
        <v>60</v>
      </c>
      <c r="I44" s="5" t="n">
        <f aca="false">detail_avancement!B44</f>
        <v>60</v>
      </c>
      <c r="J44" s="5" t="n">
        <f aca="false">H44-I44</f>
        <v>0</v>
      </c>
      <c r="K44" s="6" t="n">
        <f aca="false">(I44/(I44+J44))</f>
        <v>1</v>
      </c>
    </row>
    <row r="45" customFormat="false" ht="15.75" hidden="false" customHeight="false" outlineLevel="0" collapsed="false">
      <c r="A45" s="4" t="n">
        <v>44</v>
      </c>
      <c r="B45" s="4" t="s">
        <v>39</v>
      </c>
      <c r="C45" s="4" t="s">
        <v>82</v>
      </c>
      <c r="D45" s="4" t="s">
        <v>89</v>
      </c>
      <c r="E45" s="4" t="s">
        <v>90</v>
      </c>
      <c r="F45" s="4" t="s">
        <v>0</v>
      </c>
      <c r="G45" s="4" t="n">
        <v>60</v>
      </c>
      <c r="H45" s="4" t="n">
        <v>60</v>
      </c>
      <c r="I45" s="5" t="n">
        <f aca="false">detail_avancement!B45</f>
        <v>60</v>
      </c>
      <c r="J45" s="5" t="n">
        <f aca="false">H45-I45</f>
        <v>0</v>
      </c>
      <c r="K45" s="6" t="n">
        <f aca="false">(I45/(I45+J45))</f>
        <v>1</v>
      </c>
    </row>
    <row r="46" customFormat="false" ht="15.75" hidden="false" customHeight="false" outlineLevel="0" collapsed="false">
      <c r="A46" s="4" t="n">
        <v>45</v>
      </c>
      <c r="B46" s="4" t="s">
        <v>39</v>
      </c>
      <c r="C46" s="4" t="s">
        <v>82</v>
      </c>
      <c r="D46" s="4" t="s">
        <v>91</v>
      </c>
      <c r="E46" s="4" t="s">
        <v>92</v>
      </c>
      <c r="F46" s="4" t="s">
        <v>0</v>
      </c>
      <c r="G46" s="4" t="n">
        <v>60</v>
      </c>
      <c r="H46" s="4" t="n">
        <v>60</v>
      </c>
      <c r="I46" s="5" t="n">
        <f aca="false">detail_avancement!B46</f>
        <v>60</v>
      </c>
      <c r="J46" s="5" t="n">
        <f aca="false">H46-I46</f>
        <v>0</v>
      </c>
      <c r="K46" s="6" t="n">
        <f aca="false">(I46/(I46+J46))</f>
        <v>1</v>
      </c>
    </row>
    <row r="47" customFormat="false" ht="15.75" hidden="false" customHeight="false" outlineLevel="0" collapsed="false">
      <c r="A47" s="4" t="n">
        <v>46</v>
      </c>
      <c r="B47" s="4" t="s">
        <v>39</v>
      </c>
      <c r="C47" s="4" t="s">
        <v>82</v>
      </c>
      <c r="D47" s="4" t="s">
        <v>93</v>
      </c>
      <c r="E47" s="4" t="s">
        <v>94</v>
      </c>
      <c r="F47" s="4" t="s">
        <v>0</v>
      </c>
      <c r="G47" s="4" t="n">
        <v>60</v>
      </c>
      <c r="H47" s="4" t="n">
        <v>60</v>
      </c>
      <c r="I47" s="5" t="n">
        <f aca="false">detail_avancement!B47</f>
        <v>60</v>
      </c>
      <c r="J47" s="5" t="n">
        <f aca="false">H47-I47</f>
        <v>0</v>
      </c>
      <c r="K47" s="6" t="n">
        <f aca="false">(I47/(I47+J47))</f>
        <v>1</v>
      </c>
    </row>
    <row r="48" customFormat="false" ht="15.75" hidden="false" customHeight="false" outlineLevel="0" collapsed="false">
      <c r="A48" s="4" t="n">
        <v>47</v>
      </c>
      <c r="B48" s="4" t="s">
        <v>39</v>
      </c>
      <c r="C48" s="4" t="s">
        <v>82</v>
      </c>
      <c r="D48" s="4" t="s">
        <v>95</v>
      </c>
      <c r="E48" s="4" t="s">
        <v>96</v>
      </c>
      <c r="F48" s="4" t="s">
        <v>0</v>
      </c>
      <c r="G48" s="4" t="n">
        <v>60</v>
      </c>
      <c r="H48" s="4" t="n">
        <v>60</v>
      </c>
      <c r="I48" s="5" t="n">
        <f aca="false">detail_avancement!B48</f>
        <v>60</v>
      </c>
      <c r="J48" s="5" t="n">
        <f aca="false">H48-I48</f>
        <v>0</v>
      </c>
      <c r="K48" s="6" t="n">
        <f aca="false">(I48/(I48+J48))</f>
        <v>1</v>
      </c>
    </row>
    <row r="49" customFormat="false" ht="15.75" hidden="false" customHeight="false" outlineLevel="0" collapsed="false">
      <c r="A49" s="4" t="n">
        <v>48</v>
      </c>
      <c r="B49" s="4" t="s">
        <v>97</v>
      </c>
      <c r="C49" s="4" t="s">
        <v>76</v>
      </c>
      <c r="D49" s="4" t="s">
        <v>98</v>
      </c>
      <c r="E49" s="4" t="s">
        <v>99</v>
      </c>
      <c r="F49" s="4" t="s">
        <v>0</v>
      </c>
      <c r="G49" s="4" t="n">
        <v>60</v>
      </c>
      <c r="H49" s="4" t="n">
        <v>60</v>
      </c>
      <c r="I49" s="5" t="n">
        <f aca="false">detail_avancement!B49</f>
        <v>60</v>
      </c>
      <c r="J49" s="5" t="n">
        <f aca="false">H49-I49</f>
        <v>0</v>
      </c>
      <c r="K49" s="6" t="n">
        <f aca="false">(I49/(I49+J49))</f>
        <v>1</v>
      </c>
    </row>
    <row r="50" customFormat="false" ht="15.75" hidden="false" customHeight="false" outlineLevel="0" collapsed="false">
      <c r="A50" s="4" t="n">
        <v>49</v>
      </c>
      <c r="B50" s="4" t="s">
        <v>97</v>
      </c>
      <c r="C50" s="4" t="s">
        <v>76</v>
      </c>
      <c r="D50" s="4" t="s">
        <v>100</v>
      </c>
      <c r="E50" s="4" t="s">
        <v>101</v>
      </c>
      <c r="F50" s="4" t="s">
        <v>0</v>
      </c>
      <c r="G50" s="4" t="n">
        <v>60</v>
      </c>
      <c r="H50" s="4" t="n">
        <v>60</v>
      </c>
      <c r="I50" s="5" t="n">
        <f aca="false">detail_avancement!B50</f>
        <v>60</v>
      </c>
      <c r="J50" s="5" t="n">
        <f aca="false">H50-I50</f>
        <v>0</v>
      </c>
      <c r="K50" s="6" t="n">
        <f aca="false">(I50/(I50+J50))</f>
        <v>1</v>
      </c>
    </row>
    <row r="51" customFormat="false" ht="15.75" hidden="false" customHeight="false" outlineLevel="0" collapsed="false">
      <c r="A51" s="4" t="n">
        <v>50</v>
      </c>
      <c r="B51" s="4" t="s">
        <v>97</v>
      </c>
      <c r="C51" s="4" t="s">
        <v>76</v>
      </c>
      <c r="D51" s="4" t="s">
        <v>102</v>
      </c>
      <c r="E51" s="4" t="s">
        <v>103</v>
      </c>
      <c r="F51" s="4" t="s">
        <v>0</v>
      </c>
      <c r="G51" s="4" t="n">
        <v>60</v>
      </c>
      <c r="H51" s="4" t="n">
        <v>60</v>
      </c>
      <c r="I51" s="5" t="n">
        <f aca="false">detail_avancement!B51</f>
        <v>60</v>
      </c>
      <c r="J51" s="5" t="n">
        <f aca="false">H51-I51</f>
        <v>0</v>
      </c>
      <c r="K51" s="6" t="n">
        <f aca="false">(I51/(I51+J51))</f>
        <v>1</v>
      </c>
    </row>
    <row r="52" customFormat="false" ht="15.75" hidden="false" customHeight="false" outlineLevel="0" collapsed="false">
      <c r="A52" s="4" t="n">
        <v>51</v>
      </c>
      <c r="B52" s="4" t="s">
        <v>97</v>
      </c>
      <c r="C52" s="4" t="s">
        <v>76</v>
      </c>
      <c r="D52" s="4" t="s">
        <v>104</v>
      </c>
      <c r="E52" s="4" t="s">
        <v>105</v>
      </c>
      <c r="F52" s="4" t="s">
        <v>0</v>
      </c>
      <c r="G52" s="4" t="n">
        <v>60</v>
      </c>
      <c r="H52" s="4" t="n">
        <v>60</v>
      </c>
      <c r="I52" s="5" t="n">
        <f aca="false">detail_avancement!B52</f>
        <v>60</v>
      </c>
      <c r="J52" s="5" t="n">
        <f aca="false">H52-I52</f>
        <v>0</v>
      </c>
      <c r="K52" s="6" t="n">
        <f aca="false">(I52/(I52+J52))</f>
        <v>1</v>
      </c>
    </row>
    <row r="53" customFormat="false" ht="15.75" hidden="false" customHeight="false" outlineLevel="0" collapsed="false">
      <c r="A53" s="4" t="n">
        <v>52</v>
      </c>
      <c r="B53" s="4" t="s">
        <v>97</v>
      </c>
      <c r="C53" s="4" t="s">
        <v>82</v>
      </c>
      <c r="D53" s="4" t="s">
        <v>106</v>
      </c>
      <c r="E53" s="4" t="s">
        <v>107</v>
      </c>
      <c r="F53" s="4" t="s">
        <v>0</v>
      </c>
      <c r="G53" s="4" t="n">
        <v>60</v>
      </c>
      <c r="H53" s="4" t="n">
        <v>60</v>
      </c>
      <c r="I53" s="5" t="n">
        <f aca="false">detail_avancement!B53</f>
        <v>60</v>
      </c>
      <c r="J53" s="5" t="n">
        <f aca="false">H53-I53</f>
        <v>0</v>
      </c>
      <c r="K53" s="6" t="n">
        <f aca="false">(I53/(I53+J53))</f>
        <v>1</v>
      </c>
    </row>
    <row r="54" customFormat="false" ht="15.75" hidden="false" customHeight="false" outlineLevel="0" collapsed="false">
      <c r="A54" s="4" t="n">
        <v>53</v>
      </c>
      <c r="B54" s="4" t="s">
        <v>97</v>
      </c>
      <c r="C54" s="4" t="s">
        <v>82</v>
      </c>
      <c r="D54" s="4" t="s">
        <v>108</v>
      </c>
      <c r="E54" s="4" t="s">
        <v>109</v>
      </c>
      <c r="F54" s="4" t="s">
        <v>0</v>
      </c>
      <c r="G54" s="4" t="n">
        <v>60</v>
      </c>
      <c r="H54" s="4" t="n">
        <v>60</v>
      </c>
      <c r="I54" s="5" t="n">
        <f aca="false">detail_avancement!B54</f>
        <v>60</v>
      </c>
      <c r="J54" s="5" t="n">
        <f aca="false">H54-I54</f>
        <v>0</v>
      </c>
      <c r="K54" s="6" t="n">
        <f aca="false">(I54/(I54+J54))</f>
        <v>1</v>
      </c>
    </row>
    <row r="55" customFormat="false" ht="15.75" hidden="false" customHeight="false" outlineLevel="0" collapsed="false">
      <c r="A55" s="4" t="n">
        <v>54</v>
      </c>
      <c r="B55" s="4" t="s">
        <v>97</v>
      </c>
      <c r="C55" s="4" t="s">
        <v>82</v>
      </c>
      <c r="D55" s="4" t="s">
        <v>110</v>
      </c>
      <c r="E55" s="4" t="s">
        <v>111</v>
      </c>
      <c r="F55" s="4" t="s">
        <v>0</v>
      </c>
      <c r="G55" s="4" t="n">
        <v>60</v>
      </c>
      <c r="H55" s="4" t="n">
        <v>60</v>
      </c>
      <c r="I55" s="5" t="n">
        <f aca="false">detail_avancement!B55</f>
        <v>60</v>
      </c>
      <c r="J55" s="5" t="n">
        <f aca="false">H55-I55</f>
        <v>0</v>
      </c>
      <c r="K55" s="6" t="n">
        <f aca="false">(I55/(I55+J55))</f>
        <v>1</v>
      </c>
    </row>
    <row r="56" customFormat="false" ht="15.75" hidden="false" customHeight="false" outlineLevel="0" collapsed="false">
      <c r="A56" s="4" t="n">
        <v>55</v>
      </c>
      <c r="B56" s="4" t="s">
        <v>97</v>
      </c>
      <c r="C56" s="4" t="s">
        <v>82</v>
      </c>
      <c r="D56" s="4" t="s">
        <v>112</v>
      </c>
      <c r="E56" s="4" t="s">
        <v>113</v>
      </c>
      <c r="F56" s="4" t="s">
        <v>0</v>
      </c>
      <c r="G56" s="4" t="n">
        <v>60</v>
      </c>
      <c r="H56" s="4" t="n">
        <v>60</v>
      </c>
      <c r="I56" s="5" t="n">
        <f aca="false">detail_avancement!B56</f>
        <v>60</v>
      </c>
      <c r="J56" s="5" t="n">
        <f aca="false">H56-I56</f>
        <v>0</v>
      </c>
      <c r="K56" s="6" t="n">
        <f aca="false">(I56/(I56+J56))</f>
        <v>1</v>
      </c>
    </row>
    <row r="57" customFormat="false" ht="15.75" hidden="false" customHeight="false" outlineLevel="0" collapsed="false">
      <c r="A57" s="4" t="n">
        <v>56</v>
      </c>
      <c r="B57" s="4" t="s">
        <v>97</v>
      </c>
      <c r="C57" s="4" t="s">
        <v>82</v>
      </c>
      <c r="D57" s="4" t="s">
        <v>114</v>
      </c>
      <c r="E57" s="4" t="s">
        <v>115</v>
      </c>
      <c r="F57" s="4" t="s">
        <v>0</v>
      </c>
      <c r="G57" s="4" t="n">
        <v>60</v>
      </c>
      <c r="H57" s="4" t="n">
        <v>60</v>
      </c>
      <c r="I57" s="5" t="n">
        <f aca="false">detail_avancement!B57</f>
        <v>60</v>
      </c>
      <c r="J57" s="5" t="n">
        <f aca="false">H57-I57</f>
        <v>0</v>
      </c>
      <c r="K57" s="6" t="n">
        <f aca="false">(I57/(I57+J57))</f>
        <v>1</v>
      </c>
    </row>
    <row r="58" customFormat="false" ht="15.75" hidden="false" customHeight="false" outlineLevel="0" collapsed="false">
      <c r="A58" s="4" t="n">
        <v>57</v>
      </c>
      <c r="B58" s="4" t="s">
        <v>97</v>
      </c>
      <c r="C58" s="4" t="s">
        <v>116</v>
      </c>
      <c r="D58" s="4" t="s">
        <v>117</v>
      </c>
      <c r="E58" s="4" t="s">
        <v>79</v>
      </c>
      <c r="F58" s="4" t="s">
        <v>0</v>
      </c>
      <c r="G58" s="4" t="n">
        <v>60</v>
      </c>
      <c r="H58" s="4" t="n">
        <v>60</v>
      </c>
      <c r="I58" s="5" t="n">
        <f aca="false">detail_avancement!B58</f>
        <v>60</v>
      </c>
      <c r="J58" s="5" t="n">
        <f aca="false">H58-I58</f>
        <v>0</v>
      </c>
      <c r="K58" s="6" t="n">
        <f aca="false">(I58/(I58+J58))</f>
        <v>1</v>
      </c>
    </row>
    <row r="59" customFormat="false" ht="15.75" hidden="false" customHeight="false" outlineLevel="0" collapsed="false">
      <c r="A59" s="4" t="n">
        <v>58</v>
      </c>
      <c r="B59" s="4" t="s">
        <v>97</v>
      </c>
      <c r="C59" s="4" t="s">
        <v>116</v>
      </c>
      <c r="D59" s="4" t="s">
        <v>118</v>
      </c>
      <c r="E59" s="4" t="s">
        <v>119</v>
      </c>
      <c r="F59" s="4" t="s">
        <v>0</v>
      </c>
      <c r="G59" s="4" t="n">
        <v>60</v>
      </c>
      <c r="H59" s="4" t="n">
        <v>60</v>
      </c>
      <c r="I59" s="5" t="n">
        <f aca="false">detail_avancement!B59</f>
        <v>60</v>
      </c>
      <c r="J59" s="5" t="n">
        <f aca="false">H59-I59</f>
        <v>0</v>
      </c>
      <c r="K59" s="6" t="n">
        <f aca="false">(I59/(I59+J59))</f>
        <v>1</v>
      </c>
    </row>
    <row r="60" customFormat="false" ht="15.75" hidden="false" customHeight="false" outlineLevel="0" collapsed="false">
      <c r="A60" s="4" t="n">
        <v>59</v>
      </c>
      <c r="B60" s="4" t="s">
        <v>97</v>
      </c>
      <c r="C60" s="4" t="s">
        <v>116</v>
      </c>
      <c r="D60" s="4" t="s">
        <v>120</v>
      </c>
      <c r="E60" s="4" t="s">
        <v>121</v>
      </c>
      <c r="F60" s="4" t="s">
        <v>0</v>
      </c>
      <c r="G60" s="4" t="n">
        <v>60</v>
      </c>
      <c r="H60" s="4" t="n">
        <v>60</v>
      </c>
      <c r="I60" s="5" t="n">
        <f aca="false">detail_avancement!B60</f>
        <v>60</v>
      </c>
      <c r="J60" s="5" t="n">
        <f aca="false">H60-I60</f>
        <v>0</v>
      </c>
      <c r="K60" s="6" t="n">
        <f aca="false">(I60/(I60+J60))</f>
        <v>1</v>
      </c>
    </row>
    <row r="61" customFormat="false" ht="15.75" hidden="false" customHeight="false" outlineLevel="0" collapsed="false">
      <c r="A61" s="4" t="n">
        <v>60</v>
      </c>
      <c r="B61" s="4" t="s">
        <v>97</v>
      </c>
      <c r="C61" s="4" t="s">
        <v>116</v>
      </c>
      <c r="D61" s="4" t="s">
        <v>122</v>
      </c>
      <c r="E61" s="4" t="s">
        <v>123</v>
      </c>
      <c r="F61" s="4" t="s">
        <v>0</v>
      </c>
      <c r="G61" s="4" t="n">
        <v>60</v>
      </c>
      <c r="H61" s="4" t="n">
        <v>60</v>
      </c>
      <c r="I61" s="5" t="n">
        <f aca="false">detail_avancement!B61</f>
        <v>60</v>
      </c>
      <c r="J61" s="5" t="n">
        <f aca="false">H61-I61</f>
        <v>0</v>
      </c>
      <c r="K61" s="6" t="n">
        <f aca="false">(I61/(I61+J61))</f>
        <v>1</v>
      </c>
    </row>
    <row r="62" customFormat="false" ht="15.75" hidden="false" customHeight="false" outlineLevel="0" collapsed="false">
      <c r="A62" s="4" t="n">
        <v>61</v>
      </c>
      <c r="B62" s="4" t="s">
        <v>97</v>
      </c>
      <c r="C62" s="4" t="s">
        <v>116</v>
      </c>
      <c r="D62" s="4" t="s">
        <v>124</v>
      </c>
      <c r="E62" s="4" t="s">
        <v>125</v>
      </c>
      <c r="F62" s="4" t="s">
        <v>0</v>
      </c>
      <c r="G62" s="4" t="n">
        <v>60</v>
      </c>
      <c r="H62" s="4" t="n">
        <v>60</v>
      </c>
      <c r="I62" s="5" t="n">
        <f aca="false">detail_avancement!B62</f>
        <v>60</v>
      </c>
      <c r="J62" s="5" t="n">
        <f aca="false">H62-I62</f>
        <v>0</v>
      </c>
      <c r="K62" s="6" t="n">
        <f aca="false">(I62/(I62+J62))</f>
        <v>1</v>
      </c>
    </row>
    <row r="63" customFormat="false" ht="15.75" hidden="false" customHeight="false" outlineLevel="0" collapsed="false">
      <c r="A63" s="4" t="n">
        <v>62</v>
      </c>
      <c r="B63" s="4" t="s">
        <v>97</v>
      </c>
      <c r="C63" s="4" t="s">
        <v>116</v>
      </c>
      <c r="D63" s="4" t="s">
        <v>93</v>
      </c>
      <c r="E63" s="4" t="s">
        <v>126</v>
      </c>
      <c r="F63" s="4" t="s">
        <v>0</v>
      </c>
      <c r="G63" s="4" t="n">
        <v>60</v>
      </c>
      <c r="H63" s="4" t="n">
        <v>60</v>
      </c>
      <c r="I63" s="5" t="n">
        <f aca="false">detail_avancement!B63</f>
        <v>60</v>
      </c>
      <c r="J63" s="5" t="n">
        <f aca="false">H63-I63</f>
        <v>0</v>
      </c>
      <c r="K63" s="6" t="n">
        <f aca="false">(I63/(I63+J63))</f>
        <v>1</v>
      </c>
    </row>
    <row r="64" customFormat="false" ht="15.75" hidden="false" customHeight="false" outlineLevel="0" collapsed="false">
      <c r="A64" s="4" t="n">
        <v>63</v>
      </c>
      <c r="B64" s="4" t="s">
        <v>97</v>
      </c>
      <c r="C64" s="4" t="s">
        <v>116</v>
      </c>
      <c r="D64" s="4" t="s">
        <v>127</v>
      </c>
      <c r="E64" s="4" t="s">
        <v>128</v>
      </c>
      <c r="F64" s="4" t="s">
        <v>0</v>
      </c>
      <c r="G64" s="4" t="n">
        <v>60</v>
      </c>
      <c r="H64" s="4" t="n">
        <v>60</v>
      </c>
      <c r="I64" s="5" t="n">
        <f aca="false">detail_avancement!B64</f>
        <v>60</v>
      </c>
      <c r="J64" s="5" t="n">
        <f aca="false">H64-I64</f>
        <v>0</v>
      </c>
      <c r="K64" s="6" t="n">
        <f aca="false">(I64/(I64+J64))</f>
        <v>1</v>
      </c>
    </row>
    <row r="65" customFormat="false" ht="15.75" hidden="false" customHeight="false" outlineLevel="0" collapsed="false">
      <c r="A65" s="4" t="n">
        <v>64</v>
      </c>
      <c r="B65" s="4" t="s">
        <v>129</v>
      </c>
      <c r="C65" s="4" t="s">
        <v>130</v>
      </c>
      <c r="D65" s="4" t="s">
        <v>131</v>
      </c>
      <c r="E65" s="4" t="s">
        <v>132</v>
      </c>
      <c r="F65" s="4" t="s">
        <v>0</v>
      </c>
      <c r="G65" s="4" t="n">
        <v>60</v>
      </c>
      <c r="H65" s="4" t="n">
        <v>60</v>
      </c>
      <c r="I65" s="5" t="n">
        <f aca="false">detail_avancement!B65</f>
        <v>60</v>
      </c>
      <c r="J65" s="5" t="n">
        <f aca="false">H65-I65</f>
        <v>0</v>
      </c>
      <c r="K65" s="6" t="n">
        <f aca="false">(I65/(I65+J65))</f>
        <v>1</v>
      </c>
    </row>
    <row r="66" customFormat="false" ht="15.75" hidden="false" customHeight="false" outlineLevel="0" collapsed="false">
      <c r="A66" s="4" t="n">
        <v>65</v>
      </c>
      <c r="B66" s="4" t="s">
        <v>129</v>
      </c>
      <c r="C66" s="4" t="s">
        <v>130</v>
      </c>
      <c r="D66" s="4" t="s">
        <v>127</v>
      </c>
      <c r="E66" s="4" t="s">
        <v>59</v>
      </c>
      <c r="F66" s="4" t="s">
        <v>0</v>
      </c>
      <c r="G66" s="4" t="n">
        <v>60</v>
      </c>
      <c r="H66" s="4" t="n">
        <v>60</v>
      </c>
      <c r="I66" s="5" t="n">
        <f aca="false">detail_avancement!B66</f>
        <v>60</v>
      </c>
      <c r="J66" s="5" t="n">
        <f aca="false">H66-I66</f>
        <v>0</v>
      </c>
      <c r="K66" s="6" t="n">
        <f aca="false">(I66/(I66+J66))</f>
        <v>1</v>
      </c>
    </row>
    <row r="67" customFormat="false" ht="15.75" hidden="false" customHeight="false" outlineLevel="0" collapsed="false">
      <c r="A67" s="4" t="n">
        <v>66</v>
      </c>
      <c r="B67" s="4" t="s">
        <v>129</v>
      </c>
      <c r="C67" s="4" t="s">
        <v>133</v>
      </c>
      <c r="D67" s="4" t="s">
        <v>131</v>
      </c>
      <c r="E67" s="4" t="s">
        <v>134</v>
      </c>
      <c r="F67" s="4" t="s">
        <v>0</v>
      </c>
      <c r="G67" s="4" t="n">
        <v>60</v>
      </c>
      <c r="H67" s="4" t="n">
        <v>60</v>
      </c>
      <c r="I67" s="5" t="n">
        <f aca="false">detail_avancement!B67</f>
        <v>60</v>
      </c>
      <c r="J67" s="5" t="n">
        <f aca="false">H67-I67</f>
        <v>0</v>
      </c>
      <c r="K67" s="6" t="n">
        <f aca="false">(I67/(I67+J67))</f>
        <v>1</v>
      </c>
    </row>
    <row r="68" customFormat="false" ht="15.75" hidden="false" customHeight="false" outlineLevel="0" collapsed="false">
      <c r="A68" s="4" t="n">
        <v>67</v>
      </c>
      <c r="B68" s="4" t="s">
        <v>129</v>
      </c>
      <c r="C68" s="4" t="s">
        <v>133</v>
      </c>
      <c r="D68" s="4" t="s">
        <v>135</v>
      </c>
      <c r="E68" s="4" t="s">
        <v>136</v>
      </c>
      <c r="F68" s="4" t="s">
        <v>0</v>
      </c>
      <c r="G68" s="4" t="n">
        <v>60</v>
      </c>
      <c r="H68" s="4" t="n">
        <v>60</v>
      </c>
      <c r="I68" s="5" t="n">
        <f aca="false">detail_avancement!B68</f>
        <v>60</v>
      </c>
      <c r="J68" s="5" t="n">
        <f aca="false">H68-I68</f>
        <v>0</v>
      </c>
      <c r="K68" s="6" t="n">
        <f aca="false">(I68/(I68+J68))</f>
        <v>1</v>
      </c>
    </row>
    <row r="69" customFormat="false" ht="15.75" hidden="false" customHeight="false" outlineLevel="0" collapsed="false">
      <c r="A69" s="4" t="n">
        <v>68</v>
      </c>
      <c r="B69" s="4" t="s">
        <v>137</v>
      </c>
      <c r="C69" s="4" t="s">
        <v>16</v>
      </c>
      <c r="D69" s="4" t="s">
        <v>138</v>
      </c>
      <c r="E69" s="4" t="s">
        <v>136</v>
      </c>
      <c r="F69" s="4" t="s">
        <v>0</v>
      </c>
      <c r="G69" s="4" t="n">
        <v>60</v>
      </c>
      <c r="H69" s="4" t="n">
        <v>60</v>
      </c>
      <c r="I69" s="5" t="n">
        <f aca="false">detail_avancement!B69</f>
        <v>60</v>
      </c>
      <c r="J69" s="5" t="n">
        <f aca="false">H69-I69</f>
        <v>0</v>
      </c>
      <c r="K69" s="6" t="n">
        <f aca="false">(I69/(I69+J69))</f>
        <v>1</v>
      </c>
    </row>
    <row r="70" customFormat="false" ht="15.75" hidden="false" customHeight="false" outlineLevel="0" collapsed="false">
      <c r="A70" s="4" t="n">
        <v>69</v>
      </c>
      <c r="B70" s="4" t="s">
        <v>137</v>
      </c>
      <c r="C70" s="4" t="s">
        <v>16</v>
      </c>
      <c r="D70" s="4" t="s">
        <v>139</v>
      </c>
      <c r="E70" s="4" t="s">
        <v>137</v>
      </c>
      <c r="F70" s="4" t="s">
        <v>0</v>
      </c>
      <c r="G70" s="4" t="n">
        <v>60</v>
      </c>
      <c r="H70" s="4" t="n">
        <v>60</v>
      </c>
      <c r="I70" s="5" t="n">
        <f aca="false">detail_avancement!B70</f>
        <v>60</v>
      </c>
      <c r="J70" s="5" t="n">
        <f aca="false">H70-I70</f>
        <v>0</v>
      </c>
      <c r="K70" s="6" t="n">
        <f aca="false">(I70/(I70+J70))</f>
        <v>1</v>
      </c>
    </row>
    <row r="71" customFormat="false" ht="15.75" hidden="false" customHeight="false" outlineLevel="0" collapsed="false">
      <c r="A71" s="4" t="n">
        <v>70</v>
      </c>
      <c r="B71" s="4" t="s">
        <v>137</v>
      </c>
      <c r="C71" s="4" t="s">
        <v>16</v>
      </c>
      <c r="D71" s="4" t="s">
        <v>61</v>
      </c>
      <c r="E71" s="4" t="s">
        <v>140</v>
      </c>
      <c r="F71" s="4" t="s">
        <v>0</v>
      </c>
      <c r="G71" s="4" t="n">
        <v>60</v>
      </c>
      <c r="H71" s="4" t="n">
        <v>60</v>
      </c>
      <c r="I71" s="5" t="n">
        <f aca="false">detail_avancement!B71</f>
        <v>60</v>
      </c>
      <c r="J71" s="5" t="n">
        <f aca="false">H71-I71</f>
        <v>0</v>
      </c>
      <c r="K71" s="6" t="n">
        <f aca="false">(I71/(I71+J71))</f>
        <v>1</v>
      </c>
    </row>
    <row r="72" customFormat="false" ht="15.75" hidden="false" customHeight="false" outlineLevel="0" collapsed="false">
      <c r="A72" s="4" t="n">
        <v>71</v>
      </c>
      <c r="B72" s="4" t="s">
        <v>141</v>
      </c>
      <c r="C72" s="4" t="s">
        <v>22</v>
      </c>
      <c r="D72" s="4" t="s">
        <v>142</v>
      </c>
      <c r="E72" s="4" t="s">
        <v>143</v>
      </c>
      <c r="F72" s="4" t="s">
        <v>0</v>
      </c>
      <c r="G72" s="4" t="n">
        <v>60</v>
      </c>
      <c r="H72" s="4" t="n">
        <v>60</v>
      </c>
      <c r="I72" s="5" t="n">
        <f aca="false">detail_avancement!B72</f>
        <v>60</v>
      </c>
      <c r="J72" s="5" t="n">
        <f aca="false">H72-I72</f>
        <v>0</v>
      </c>
      <c r="K72" s="6" t="n">
        <f aca="false">(I72/(I72+J72))</f>
        <v>1</v>
      </c>
    </row>
    <row r="73" customFormat="false" ht="15.75" hidden="false" customHeight="false" outlineLevel="0" collapsed="false">
      <c r="A73" s="4" t="n">
        <v>72</v>
      </c>
      <c r="B73" s="4" t="s">
        <v>141</v>
      </c>
      <c r="C73" s="4" t="s">
        <v>25</v>
      </c>
      <c r="D73" s="4" t="s">
        <v>144</v>
      </c>
      <c r="E73" s="4" t="s">
        <v>145</v>
      </c>
      <c r="F73" s="4" t="s">
        <v>0</v>
      </c>
      <c r="G73" s="4" t="n">
        <v>60</v>
      </c>
      <c r="H73" s="4" t="n">
        <v>60</v>
      </c>
      <c r="I73" s="5" t="n">
        <f aca="false">detail_avancement!B73</f>
        <v>60</v>
      </c>
      <c r="J73" s="5" t="n">
        <f aca="false">H73-I73</f>
        <v>0</v>
      </c>
      <c r="K73" s="6" t="n">
        <f aca="false">(I73/(I73+J73))</f>
        <v>1</v>
      </c>
    </row>
    <row r="74" customFormat="false" ht="15.75" hidden="false" customHeight="false" outlineLevel="0" collapsed="false">
      <c r="A74" s="4" t="n">
        <v>73</v>
      </c>
      <c r="B74" s="4" t="s">
        <v>141</v>
      </c>
      <c r="C74" s="4" t="s">
        <v>51</v>
      </c>
      <c r="D74" s="4" t="s">
        <v>146</v>
      </c>
      <c r="E74" s="4" t="s">
        <v>147</v>
      </c>
      <c r="F74" s="4" t="s">
        <v>0</v>
      </c>
      <c r="G74" s="4" t="n">
        <v>60</v>
      </c>
      <c r="H74" s="4" t="n">
        <v>60</v>
      </c>
      <c r="I74" s="5" t="n">
        <f aca="false">detail_avancement!B74</f>
        <v>60</v>
      </c>
      <c r="J74" s="5" t="n">
        <f aca="false">H74-I74</f>
        <v>0</v>
      </c>
      <c r="K74" s="6" t="n">
        <f aca="false">(I74/(I74+J74))</f>
        <v>1</v>
      </c>
    </row>
    <row r="75" customFormat="false" ht="15.75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7"/>
      <c r="J75" s="7"/>
      <c r="K75" s="7"/>
    </row>
    <row r="76" customFormat="false" ht="15.7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7"/>
      <c r="J76" s="7"/>
      <c r="K76" s="7"/>
    </row>
    <row r="77" customFormat="false" ht="15.75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7"/>
      <c r="J77" s="7"/>
      <c r="K77" s="7"/>
    </row>
    <row r="78" customFormat="false" ht="15.75" hidden="false" customHeight="false" outlineLevel="0" collapsed="false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</row>
    <row r="79" customFormat="false" ht="15.75" hidden="false" customHeight="false" outlineLevel="0" collapsed="false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</row>
    <row r="80" customFormat="false" ht="15.75" hidden="false" customHeight="false" outlineLevel="0" collapsed="false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</row>
    <row r="81" customFormat="false" ht="15.75" hidden="false" customHeight="false" outlineLevel="0" collapsed="false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</row>
    <row r="82" customFormat="false" ht="15.75" hidden="false" customHeight="false" outlineLevel="0" collapsed="false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</row>
    <row r="83" customFormat="false" ht="15.75" hidden="false" customHeight="false" outlineLevel="0" collapsed="false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</row>
    <row r="84" customFormat="false" ht="15.75" hidden="false" customHeight="false" outlineLevel="0" collapsed="false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</row>
    <row r="85" customFormat="false" ht="15.75" hidden="false" customHeight="false" outlineLevel="0" collapsed="false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</row>
    <row r="86" customFormat="false" ht="15.75" hidden="false" customHeight="false" outlineLevel="0" collapsed="false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</row>
    <row r="87" customFormat="false" ht="15.75" hidden="false" customHeight="false" outlineLevel="0" collapsed="false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</row>
    <row r="88" customFormat="false" ht="15.75" hidden="false" customHeight="false" outlineLevel="0" collapsed="false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</row>
    <row r="89" customFormat="false" ht="15.75" hidden="false" customHeight="false" outlineLevel="0" collapsed="false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</row>
    <row r="90" customFormat="false" ht="15.75" hidden="false" customHeight="false" outlineLevel="0" collapsed="false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</row>
    <row r="91" customFormat="false" ht="15.75" hidden="false" customHeight="false" outlineLevel="0" collapsed="false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</row>
    <row r="92" customFormat="false" ht="15.75" hidden="false" customHeight="false" outlineLevel="0" collapsed="false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</row>
    <row r="93" customFormat="false" ht="15.75" hidden="false" customHeight="false" outlineLevel="0" collapsed="false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</row>
    <row r="94" customFormat="false" ht="15.75" hidden="false" customHeight="false" outlineLevel="0" collapsed="false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</row>
    <row r="95" customFormat="false" ht="15.75" hidden="false" customHeight="false" outlineLevel="0" collapsed="false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</row>
    <row r="96" customFormat="false" ht="15.75" hidden="false" customHeight="false" outlineLevel="0" collapsed="false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</row>
    <row r="97" customFormat="false" ht="15.75" hidden="false" customHeight="false" outlineLevel="0" collapsed="false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</row>
    <row r="98" customFormat="false" ht="15.75" hidden="false" customHeight="false" outlineLevel="0" collapsed="false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</row>
    <row r="99" customFormat="false" ht="15.75" hidden="false" customHeight="false" outlineLevel="0" collapsed="false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</row>
    <row r="100" customFormat="false" ht="15.75" hidden="false" customHeight="false" outlineLevel="0" collapsed="false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</row>
    <row r="101" customFormat="false" ht="15.75" hidden="false" customHeight="false" outlineLevel="0" collapsed="false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</row>
    <row r="102" customFormat="false" ht="15.75" hidden="false" customHeight="false" outlineLevel="0" collapsed="false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</row>
    <row r="103" customFormat="false" ht="15.75" hidden="false" customHeight="false" outlineLevel="0" collapsed="false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</row>
    <row r="104" customFormat="false" ht="15.75" hidden="false" customHeight="false" outlineLevel="0" collapsed="false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</row>
    <row r="105" customFormat="false" ht="15.75" hidden="false" customHeight="false" outlineLevel="0" collapsed="false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</row>
    <row r="106" customFormat="false" ht="15.75" hidden="false" customHeight="false" outlineLevel="0" collapsed="false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</row>
    <row r="107" customFormat="false" ht="15.75" hidden="false" customHeight="false" outlineLevel="0" collapsed="false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</row>
    <row r="108" customFormat="false" ht="15.75" hidden="false" customHeight="false" outlineLevel="0" collapsed="false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</row>
    <row r="109" customFormat="false" ht="15.75" hidden="false" customHeight="false" outlineLevel="0" collapsed="false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</row>
    <row r="110" customFormat="false" ht="15.75" hidden="false" customHeight="false" outlineLevel="0" collapsed="false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</row>
    <row r="111" customFormat="false" ht="15.75" hidden="false" customHeight="false" outlineLevel="0" collapsed="false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</row>
    <row r="112" customFormat="false" ht="15.75" hidden="false" customHeight="false" outlineLevel="0" collapsed="false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</row>
    <row r="113" customFormat="false" ht="15.75" hidden="false" customHeight="false" outlineLevel="0" collapsed="false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</row>
    <row r="114" customFormat="false" ht="15.75" hidden="false" customHeight="false" outlineLevel="0" collapsed="false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</row>
    <row r="115" customFormat="false" ht="15.75" hidden="false" customHeight="false" outlineLevel="0" collapsed="false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</row>
    <row r="116" customFormat="false" ht="15.75" hidden="false" customHeight="false" outlineLevel="0" collapsed="false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</row>
    <row r="117" customFormat="false" ht="15.75" hidden="false" customHeight="false" outlineLevel="0" collapsed="false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</row>
    <row r="118" customFormat="false" ht="15.75" hidden="false" customHeight="false" outlineLevel="0" collapsed="false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</row>
    <row r="119" customFormat="false" ht="15.75" hidden="false" customHeight="false" outlineLevel="0" collapsed="false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</row>
    <row r="120" customFormat="false" ht="15.75" hidden="false" customHeight="false" outlineLevel="0" collapsed="false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</row>
    <row r="121" customFormat="false" ht="15.75" hidden="false" customHeight="false" outlineLevel="0" collapsed="false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</row>
    <row r="122" customFormat="false" ht="15.75" hidden="false" customHeight="false" outlineLevel="0" collapsed="false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</row>
    <row r="123" customFormat="false" ht="15.75" hidden="false" customHeight="false" outlineLevel="0" collapsed="false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</row>
    <row r="124" customFormat="false" ht="15.75" hidden="false" customHeight="false" outlineLevel="0" collapsed="false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</row>
    <row r="125" customFormat="false" ht="15.75" hidden="false" customHeight="false" outlineLevel="0" collapsed="false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</row>
    <row r="126" customFormat="false" ht="15.75" hidden="false" customHeight="false" outlineLevel="0" collapsed="false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</row>
    <row r="127" customFormat="false" ht="15.75" hidden="false" customHeight="false" outlineLevel="0" collapsed="false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</row>
    <row r="128" customFormat="false" ht="15.75" hidden="false" customHeight="false" outlineLevel="0" collapsed="false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</row>
    <row r="129" customFormat="false" ht="15.75" hidden="false" customHeight="false" outlineLevel="0" collapsed="false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</row>
    <row r="130" customFormat="false" ht="15.75" hidden="false" customHeight="false" outlineLevel="0" collapsed="false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</row>
    <row r="131" customFormat="false" ht="15.75" hidden="false" customHeight="false" outlineLevel="0" collapsed="false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</row>
    <row r="132" customFormat="false" ht="15.75" hidden="false" customHeight="false" outlineLevel="0" collapsed="false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</row>
    <row r="133" customFormat="false" ht="15.75" hidden="false" customHeight="false" outlineLevel="0" collapsed="false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</row>
    <row r="134" customFormat="false" ht="15.75" hidden="false" customHeight="false" outlineLevel="0" collapsed="false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</row>
    <row r="135" customFormat="false" ht="15.75" hidden="false" customHeight="false" outlineLevel="0" collapsed="false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</row>
    <row r="136" customFormat="false" ht="15.75" hidden="false" customHeight="false" outlineLevel="0" collapsed="false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</row>
    <row r="137" customFormat="false" ht="15.75" hidden="false" customHeight="false" outlineLevel="0" collapsed="false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</row>
    <row r="138" customFormat="false" ht="15.75" hidden="false" customHeight="false" outlineLevel="0" collapsed="false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</row>
    <row r="139" customFormat="false" ht="15.75" hidden="false" customHeight="false" outlineLevel="0" collapsed="false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</row>
    <row r="140" customFormat="false" ht="15.75" hidden="false" customHeight="false" outlineLevel="0" collapsed="false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</row>
    <row r="141" customFormat="false" ht="15.75" hidden="false" customHeight="false" outlineLevel="0" collapsed="false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</row>
    <row r="142" customFormat="false" ht="15.75" hidden="false" customHeight="false" outlineLevel="0" collapsed="false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</row>
    <row r="143" customFormat="false" ht="15.75" hidden="false" customHeight="false" outlineLevel="0" collapsed="false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</row>
    <row r="144" customFormat="false" ht="15.75" hidden="false" customHeight="false" outlineLevel="0" collapsed="false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</row>
    <row r="145" customFormat="false" ht="15.75" hidden="false" customHeight="false" outlineLevel="0" collapsed="false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</row>
    <row r="146" customFormat="false" ht="15.75" hidden="false" customHeight="false" outlineLevel="0" collapsed="false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</row>
    <row r="147" customFormat="false" ht="15.75" hidden="false" customHeight="false" outlineLevel="0" collapsed="false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</row>
    <row r="148" customFormat="false" ht="15.75" hidden="false" customHeight="false" outlineLevel="0" collapsed="false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</row>
    <row r="149" customFormat="false" ht="15.75" hidden="false" customHeight="false" outlineLevel="0" collapsed="false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</row>
    <row r="150" customFormat="false" ht="15.75" hidden="false" customHeight="false" outlineLevel="0" collapsed="false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</row>
    <row r="151" customFormat="false" ht="15.75" hidden="false" customHeight="false" outlineLevel="0" collapsed="false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</row>
    <row r="152" customFormat="false" ht="15.75" hidden="false" customHeight="false" outlineLevel="0" collapsed="false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</row>
    <row r="153" customFormat="false" ht="15.75" hidden="false" customHeight="false" outlineLevel="0" collapsed="false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</row>
    <row r="154" customFormat="false" ht="15.75" hidden="false" customHeight="false" outlineLevel="0" collapsed="false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</row>
    <row r="155" customFormat="false" ht="15.75" hidden="false" customHeight="false" outlineLevel="0" collapsed="false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</row>
    <row r="156" customFormat="false" ht="15.75" hidden="false" customHeight="false" outlineLevel="0" collapsed="false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</row>
    <row r="157" customFormat="false" ht="15.75" hidden="false" customHeight="false" outlineLevel="0" collapsed="false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</row>
    <row r="158" customFormat="false" ht="15.75" hidden="false" customHeight="false" outlineLevel="0" collapsed="false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</row>
    <row r="159" customFormat="false" ht="15.75" hidden="false" customHeight="false" outlineLevel="0" collapsed="false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</row>
    <row r="160" customFormat="false" ht="15.75" hidden="false" customHeight="false" outlineLevel="0" collapsed="false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</row>
    <row r="161" customFormat="false" ht="15.75" hidden="false" customHeight="false" outlineLevel="0" collapsed="false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</row>
    <row r="162" customFormat="false" ht="15.75" hidden="false" customHeight="false" outlineLevel="0" collapsed="false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</row>
    <row r="163" customFormat="false" ht="15.75" hidden="false" customHeight="false" outlineLevel="0" collapsed="false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</row>
    <row r="164" customFormat="false" ht="15.75" hidden="false" customHeight="false" outlineLevel="0" collapsed="false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</row>
    <row r="165" customFormat="false" ht="15.75" hidden="false" customHeight="false" outlineLevel="0" collapsed="false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</row>
    <row r="166" customFormat="false" ht="15.75" hidden="false" customHeight="false" outlineLevel="0" collapsed="false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</row>
    <row r="167" customFormat="false" ht="15.75" hidden="false" customHeight="false" outlineLevel="0" collapsed="false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</row>
    <row r="168" customFormat="false" ht="15.75" hidden="false" customHeight="false" outlineLevel="0" collapsed="false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</row>
    <row r="169" customFormat="false" ht="15.75" hidden="false" customHeight="false" outlineLevel="0" collapsed="false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</row>
    <row r="170" customFormat="false" ht="15.75" hidden="false" customHeight="false" outlineLevel="0" collapsed="false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</row>
    <row r="171" customFormat="false" ht="15.75" hidden="false" customHeight="false" outlineLevel="0" collapsed="false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</row>
    <row r="172" customFormat="false" ht="15.75" hidden="false" customHeight="false" outlineLevel="0" collapsed="false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</row>
    <row r="173" customFormat="false" ht="15.75" hidden="false" customHeight="false" outlineLevel="0" collapsed="false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</row>
    <row r="174" customFormat="false" ht="15.75" hidden="false" customHeight="false" outlineLevel="0" collapsed="false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</row>
    <row r="175" customFormat="false" ht="15.75" hidden="false" customHeight="false" outlineLevel="0" collapsed="false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</row>
    <row r="176" customFormat="false" ht="15.75" hidden="false" customHeight="false" outlineLevel="0" collapsed="false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</row>
    <row r="177" customFormat="false" ht="15.75" hidden="false" customHeight="false" outlineLevel="0" collapsed="false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</row>
    <row r="178" customFormat="false" ht="15.75" hidden="false" customHeight="false" outlineLevel="0" collapsed="false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</row>
    <row r="179" customFormat="false" ht="15.75" hidden="false" customHeight="false" outlineLevel="0" collapsed="false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</row>
    <row r="180" customFormat="false" ht="15.75" hidden="false" customHeight="false" outlineLevel="0" collapsed="false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</row>
    <row r="181" customFormat="false" ht="15.75" hidden="false" customHeight="false" outlineLevel="0" collapsed="false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</row>
    <row r="182" customFormat="false" ht="15.75" hidden="false" customHeight="false" outlineLevel="0" collapsed="false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</row>
    <row r="183" customFormat="false" ht="15.75" hidden="false" customHeight="false" outlineLevel="0" collapsed="false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</row>
    <row r="184" customFormat="false" ht="15.75" hidden="false" customHeight="false" outlineLevel="0" collapsed="false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</row>
    <row r="185" customFormat="false" ht="15.75" hidden="false" customHeight="false" outlineLevel="0" collapsed="false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</row>
    <row r="186" customFormat="false" ht="15.75" hidden="false" customHeight="false" outlineLevel="0" collapsed="false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</row>
    <row r="187" customFormat="false" ht="15.75" hidden="false" customHeight="false" outlineLevel="0" collapsed="false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</row>
    <row r="188" customFormat="false" ht="15.75" hidden="false" customHeight="false" outlineLevel="0" collapsed="false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</row>
    <row r="189" customFormat="false" ht="15.75" hidden="false" customHeight="false" outlineLevel="0" collapsed="false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</row>
    <row r="190" customFormat="false" ht="15.75" hidden="false" customHeight="false" outlineLevel="0" collapsed="false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</row>
    <row r="191" customFormat="false" ht="15.75" hidden="false" customHeight="false" outlineLevel="0" collapsed="false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</row>
    <row r="192" customFormat="false" ht="15.75" hidden="false" customHeight="false" outlineLevel="0" collapsed="false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</row>
    <row r="193" customFormat="false" ht="15.75" hidden="false" customHeight="false" outlineLevel="0" collapsed="false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</row>
    <row r="194" customFormat="false" ht="15.75" hidden="false" customHeight="false" outlineLevel="0" collapsed="false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</row>
    <row r="195" customFormat="false" ht="15.75" hidden="false" customHeight="false" outlineLevel="0" collapsed="false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</row>
    <row r="196" customFormat="false" ht="15.75" hidden="false" customHeight="false" outlineLevel="0" collapsed="false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</row>
    <row r="197" customFormat="false" ht="15.75" hidden="false" customHeight="false" outlineLevel="0" collapsed="false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</row>
    <row r="198" customFormat="false" ht="15.75" hidden="false" customHeight="false" outlineLevel="0" collapsed="false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</row>
    <row r="199" customFormat="false" ht="15.75" hidden="false" customHeight="false" outlineLevel="0" collapsed="false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</row>
    <row r="200" customFormat="false" ht="15.75" hidden="false" customHeight="false" outlineLevel="0" collapsed="false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</row>
    <row r="201" customFormat="false" ht="15.75" hidden="false" customHeight="false" outlineLevel="0" collapsed="false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</row>
    <row r="202" customFormat="false" ht="15.75" hidden="false" customHeight="false" outlineLevel="0" collapsed="false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</row>
    <row r="203" customFormat="false" ht="15.75" hidden="false" customHeight="false" outlineLevel="0" collapsed="false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</row>
    <row r="204" customFormat="false" ht="15.75" hidden="false" customHeight="false" outlineLevel="0" collapsed="false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</row>
    <row r="205" customFormat="false" ht="15.75" hidden="false" customHeight="false" outlineLevel="0" collapsed="false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</row>
    <row r="206" customFormat="false" ht="15.75" hidden="false" customHeight="false" outlineLevel="0" collapsed="false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</row>
    <row r="207" customFormat="false" ht="15.75" hidden="false" customHeight="false" outlineLevel="0" collapsed="false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</row>
    <row r="208" customFormat="false" ht="15.75" hidden="false" customHeight="false" outlineLevel="0" collapsed="false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</row>
    <row r="209" customFormat="false" ht="15.75" hidden="false" customHeight="false" outlineLevel="0" collapsed="false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</row>
    <row r="210" customFormat="false" ht="15.75" hidden="false" customHeight="false" outlineLevel="0" collapsed="false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</row>
    <row r="211" customFormat="false" ht="15.75" hidden="false" customHeight="false" outlineLevel="0" collapsed="false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</row>
    <row r="212" customFormat="false" ht="15.75" hidden="false" customHeight="false" outlineLevel="0" collapsed="false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</row>
    <row r="213" customFormat="false" ht="15.75" hidden="false" customHeight="false" outlineLevel="0" collapsed="false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</row>
    <row r="214" customFormat="false" ht="15.75" hidden="false" customHeight="false" outlineLevel="0" collapsed="false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</row>
    <row r="215" customFormat="false" ht="15.75" hidden="false" customHeight="false" outlineLevel="0" collapsed="false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</row>
    <row r="216" customFormat="false" ht="15.75" hidden="false" customHeight="false" outlineLevel="0" collapsed="false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</row>
    <row r="217" customFormat="false" ht="15.75" hidden="false" customHeight="false" outlineLevel="0" collapsed="false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</row>
    <row r="218" customFormat="false" ht="15.75" hidden="false" customHeight="false" outlineLevel="0" collapsed="false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</row>
    <row r="219" customFormat="false" ht="15.75" hidden="false" customHeight="false" outlineLevel="0" collapsed="false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</row>
    <row r="220" customFormat="false" ht="15.75" hidden="false" customHeight="false" outlineLevel="0" collapsed="false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</row>
    <row r="221" customFormat="false" ht="15.75" hidden="false" customHeight="false" outlineLevel="0" collapsed="false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</row>
    <row r="222" customFormat="false" ht="15.75" hidden="false" customHeight="false" outlineLevel="0" collapsed="false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</row>
    <row r="223" customFormat="false" ht="15.75" hidden="false" customHeight="false" outlineLevel="0" collapsed="false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</row>
    <row r="224" customFormat="false" ht="15.75" hidden="false" customHeight="false" outlineLevel="0" collapsed="false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</row>
    <row r="225" customFormat="false" ht="15.75" hidden="false" customHeight="false" outlineLevel="0" collapsed="false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</row>
    <row r="226" customFormat="false" ht="15.75" hidden="false" customHeight="false" outlineLevel="0" collapsed="false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</row>
    <row r="227" customFormat="false" ht="15.75" hidden="false" customHeight="false" outlineLevel="0" collapsed="false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</row>
    <row r="228" customFormat="false" ht="15.75" hidden="false" customHeight="false" outlineLevel="0" collapsed="false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</row>
    <row r="229" customFormat="false" ht="15.75" hidden="false" customHeight="false" outlineLevel="0" collapsed="false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</row>
    <row r="230" customFormat="false" ht="15.75" hidden="false" customHeight="false" outlineLevel="0" collapsed="false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</row>
    <row r="231" customFormat="false" ht="15.75" hidden="false" customHeight="false" outlineLevel="0" collapsed="false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</row>
    <row r="232" customFormat="false" ht="15.75" hidden="false" customHeight="false" outlineLevel="0" collapsed="false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</row>
    <row r="233" customFormat="false" ht="15.75" hidden="false" customHeight="false" outlineLevel="0" collapsed="false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</row>
    <row r="234" customFormat="false" ht="15.75" hidden="false" customHeight="false" outlineLevel="0" collapsed="false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</row>
    <row r="235" customFormat="false" ht="15.75" hidden="false" customHeight="false" outlineLevel="0" collapsed="false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</row>
    <row r="236" customFormat="false" ht="15.75" hidden="false" customHeight="false" outlineLevel="0" collapsed="false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</row>
    <row r="237" customFormat="false" ht="15.75" hidden="false" customHeight="false" outlineLevel="0" collapsed="false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</row>
    <row r="238" customFormat="false" ht="15.75" hidden="false" customHeight="false" outlineLevel="0" collapsed="false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</row>
    <row r="239" customFormat="false" ht="15.75" hidden="false" customHeight="false" outlineLevel="0" collapsed="false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</row>
    <row r="240" customFormat="false" ht="15.75" hidden="false" customHeight="false" outlineLevel="0" collapsed="false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</row>
    <row r="241" customFormat="false" ht="15.75" hidden="false" customHeight="false" outlineLevel="0" collapsed="false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</row>
    <row r="242" customFormat="false" ht="15.75" hidden="false" customHeight="false" outlineLevel="0" collapsed="false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</row>
    <row r="243" customFormat="false" ht="15.75" hidden="false" customHeight="false" outlineLevel="0" collapsed="false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</row>
    <row r="244" customFormat="false" ht="15.75" hidden="false" customHeight="false" outlineLevel="0" collapsed="false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</row>
    <row r="245" customFormat="false" ht="15.75" hidden="false" customHeight="false" outlineLevel="0" collapsed="false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</row>
    <row r="246" customFormat="false" ht="15.75" hidden="false" customHeight="false" outlineLevel="0" collapsed="false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</row>
    <row r="247" customFormat="false" ht="15.75" hidden="false" customHeight="false" outlineLevel="0" collapsed="false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</row>
    <row r="248" customFormat="false" ht="15.75" hidden="false" customHeight="false" outlineLevel="0" collapsed="false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</row>
    <row r="249" customFormat="false" ht="15.75" hidden="false" customHeight="false" outlineLevel="0" collapsed="false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</row>
    <row r="250" customFormat="false" ht="15.75" hidden="false" customHeight="false" outlineLevel="0" collapsed="false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</row>
    <row r="251" customFormat="false" ht="15.75" hidden="false" customHeight="false" outlineLevel="0" collapsed="false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</row>
    <row r="252" customFormat="false" ht="15.75" hidden="false" customHeight="false" outlineLevel="0" collapsed="false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</row>
    <row r="253" customFormat="false" ht="15.75" hidden="false" customHeight="false" outlineLevel="0" collapsed="false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</row>
    <row r="254" customFormat="false" ht="15.75" hidden="false" customHeight="false" outlineLevel="0" collapsed="false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</row>
    <row r="255" customFormat="false" ht="15.75" hidden="false" customHeight="false" outlineLevel="0" collapsed="false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</row>
    <row r="256" customFormat="false" ht="15.75" hidden="false" customHeight="false" outlineLevel="0" collapsed="false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</row>
    <row r="257" customFormat="false" ht="15.75" hidden="false" customHeight="false" outlineLevel="0" collapsed="false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</row>
    <row r="258" customFormat="false" ht="15.75" hidden="false" customHeight="false" outlineLevel="0" collapsed="false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</row>
    <row r="259" customFormat="false" ht="15.75" hidden="false" customHeight="false" outlineLevel="0" collapsed="false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</row>
    <row r="260" customFormat="false" ht="15.75" hidden="false" customHeight="false" outlineLevel="0" collapsed="false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</row>
    <row r="261" customFormat="false" ht="15.75" hidden="false" customHeight="false" outlineLevel="0" collapsed="false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</row>
    <row r="262" customFormat="false" ht="15.75" hidden="false" customHeight="false" outlineLevel="0" collapsed="false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</row>
    <row r="263" customFormat="false" ht="15.75" hidden="false" customHeight="false" outlineLevel="0" collapsed="false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</row>
    <row r="264" customFormat="false" ht="15.75" hidden="false" customHeight="false" outlineLevel="0" collapsed="false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</row>
    <row r="265" customFormat="false" ht="15.75" hidden="false" customHeight="false" outlineLevel="0" collapsed="false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</row>
    <row r="266" customFormat="false" ht="15.75" hidden="false" customHeight="false" outlineLevel="0" collapsed="false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</row>
    <row r="267" customFormat="false" ht="15.75" hidden="false" customHeight="false" outlineLevel="0" collapsed="false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</row>
    <row r="268" customFormat="false" ht="15.75" hidden="false" customHeight="false" outlineLevel="0" collapsed="false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</row>
    <row r="269" customFormat="false" ht="15.75" hidden="false" customHeight="false" outlineLevel="0" collapsed="false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</row>
    <row r="270" customFormat="false" ht="15.75" hidden="false" customHeight="false" outlineLevel="0" collapsed="false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</row>
    <row r="271" customFormat="false" ht="15.75" hidden="false" customHeight="false" outlineLevel="0" collapsed="false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</row>
    <row r="272" customFormat="false" ht="15.75" hidden="false" customHeight="false" outlineLevel="0" collapsed="false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</row>
    <row r="273" customFormat="false" ht="15.75" hidden="false" customHeight="false" outlineLevel="0" collapsed="false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</row>
    <row r="274" customFormat="false" ht="15.75" hidden="false" customHeight="false" outlineLevel="0" collapsed="false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</row>
    <row r="275" customFormat="false" ht="15.75" hidden="false" customHeight="false" outlineLevel="0" collapsed="false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</row>
    <row r="276" customFormat="false" ht="15.75" hidden="false" customHeight="false" outlineLevel="0" collapsed="false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</row>
    <row r="277" customFormat="false" ht="15.75" hidden="false" customHeight="false" outlineLevel="0" collapsed="false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</row>
    <row r="278" customFormat="false" ht="15.75" hidden="false" customHeight="false" outlineLevel="0" collapsed="false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</row>
    <row r="279" customFormat="false" ht="15.75" hidden="false" customHeight="false" outlineLevel="0" collapsed="false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</row>
    <row r="280" customFormat="false" ht="15.75" hidden="false" customHeight="false" outlineLevel="0" collapsed="false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</row>
    <row r="281" customFormat="false" ht="15.75" hidden="false" customHeight="false" outlineLevel="0" collapsed="false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</row>
    <row r="282" customFormat="false" ht="15.75" hidden="false" customHeight="false" outlineLevel="0" collapsed="false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</row>
    <row r="283" customFormat="false" ht="15.75" hidden="false" customHeight="false" outlineLevel="0" collapsed="false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</row>
    <row r="284" customFormat="false" ht="15.75" hidden="false" customHeight="false" outlineLevel="0" collapsed="false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</row>
    <row r="285" customFormat="false" ht="15.75" hidden="false" customHeight="false" outlineLevel="0" collapsed="false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</row>
    <row r="286" customFormat="false" ht="15.75" hidden="false" customHeight="false" outlineLevel="0" collapsed="false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</row>
    <row r="287" customFormat="false" ht="15.75" hidden="false" customHeight="false" outlineLevel="0" collapsed="false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</row>
    <row r="288" customFormat="false" ht="15.75" hidden="false" customHeight="false" outlineLevel="0" collapsed="false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</row>
    <row r="289" customFormat="false" ht="15.75" hidden="false" customHeight="false" outlineLevel="0" collapsed="false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</row>
    <row r="290" customFormat="false" ht="15.75" hidden="false" customHeight="false" outlineLevel="0" collapsed="false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</row>
    <row r="291" customFormat="false" ht="15.75" hidden="false" customHeight="false" outlineLevel="0" collapsed="false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</row>
    <row r="292" customFormat="false" ht="15.75" hidden="false" customHeight="false" outlineLevel="0" collapsed="false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</row>
    <row r="293" customFormat="false" ht="15.75" hidden="false" customHeight="false" outlineLevel="0" collapsed="false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</row>
    <row r="294" customFormat="false" ht="15.75" hidden="false" customHeight="false" outlineLevel="0" collapsed="false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</row>
    <row r="295" customFormat="false" ht="15.75" hidden="false" customHeight="false" outlineLevel="0" collapsed="false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</row>
    <row r="296" customFormat="false" ht="15.75" hidden="false" customHeight="false" outlineLevel="0" collapsed="false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</row>
    <row r="297" customFormat="false" ht="15.75" hidden="false" customHeight="false" outlineLevel="0" collapsed="false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</row>
    <row r="298" customFormat="false" ht="15.75" hidden="false" customHeight="false" outlineLevel="0" collapsed="false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</row>
    <row r="299" customFormat="false" ht="15.75" hidden="false" customHeight="false" outlineLevel="0" collapsed="false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</row>
    <row r="300" customFormat="false" ht="15.75" hidden="false" customHeight="false" outlineLevel="0" collapsed="false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</row>
    <row r="301" customFormat="false" ht="15.75" hidden="false" customHeight="false" outlineLevel="0" collapsed="false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</row>
    <row r="302" customFormat="false" ht="15.75" hidden="false" customHeight="false" outlineLevel="0" collapsed="false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</row>
    <row r="303" customFormat="false" ht="15.75" hidden="false" customHeight="false" outlineLevel="0" collapsed="false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</row>
    <row r="304" customFormat="false" ht="15.75" hidden="false" customHeight="false" outlineLevel="0" collapsed="false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</row>
    <row r="305" customFormat="false" ht="15.75" hidden="false" customHeight="false" outlineLevel="0" collapsed="false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</row>
    <row r="306" customFormat="false" ht="15.75" hidden="false" customHeight="false" outlineLevel="0" collapsed="false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</row>
    <row r="307" customFormat="false" ht="15.75" hidden="false" customHeight="false" outlineLevel="0" collapsed="false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</row>
    <row r="308" customFormat="false" ht="15.75" hidden="false" customHeight="false" outlineLevel="0" collapsed="false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</row>
    <row r="309" customFormat="false" ht="15.75" hidden="false" customHeight="false" outlineLevel="0" collapsed="false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</row>
    <row r="310" customFormat="false" ht="15.75" hidden="false" customHeight="false" outlineLevel="0" collapsed="false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</row>
    <row r="311" customFormat="false" ht="15.75" hidden="false" customHeight="false" outlineLevel="0" collapsed="false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</row>
    <row r="312" customFormat="false" ht="15.75" hidden="false" customHeight="false" outlineLevel="0" collapsed="false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</row>
    <row r="313" customFormat="false" ht="15.75" hidden="false" customHeight="false" outlineLevel="0" collapsed="false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</row>
    <row r="314" customFormat="false" ht="15.75" hidden="false" customHeight="false" outlineLevel="0" collapsed="false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</row>
    <row r="315" customFormat="false" ht="15.75" hidden="false" customHeight="false" outlineLevel="0" collapsed="false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</row>
    <row r="316" customFormat="false" ht="15.75" hidden="false" customHeight="false" outlineLevel="0" collapsed="false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</row>
    <row r="317" customFormat="false" ht="15.75" hidden="false" customHeight="false" outlineLevel="0" collapsed="false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</row>
    <row r="318" customFormat="false" ht="15.75" hidden="false" customHeight="false" outlineLevel="0" collapsed="false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</row>
    <row r="319" customFormat="false" ht="15.75" hidden="false" customHeight="false" outlineLevel="0" collapsed="false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</row>
    <row r="320" customFormat="false" ht="15.75" hidden="false" customHeight="false" outlineLevel="0" collapsed="false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</row>
    <row r="321" customFormat="false" ht="15.75" hidden="false" customHeight="false" outlineLevel="0" collapsed="false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</row>
    <row r="322" customFormat="false" ht="15.75" hidden="false" customHeight="false" outlineLevel="0" collapsed="false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</row>
    <row r="323" customFormat="false" ht="15.75" hidden="false" customHeight="false" outlineLevel="0" collapsed="false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</row>
    <row r="324" customFormat="false" ht="15.75" hidden="false" customHeight="false" outlineLevel="0" collapsed="false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</row>
    <row r="325" customFormat="false" ht="15.75" hidden="false" customHeight="false" outlineLevel="0" collapsed="false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</row>
    <row r="326" customFormat="false" ht="15.75" hidden="false" customHeight="false" outlineLevel="0" collapsed="false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</row>
    <row r="327" customFormat="false" ht="15.75" hidden="false" customHeight="false" outlineLevel="0" collapsed="false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</row>
    <row r="328" customFormat="false" ht="15.75" hidden="false" customHeight="false" outlineLevel="0" collapsed="false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</row>
    <row r="329" customFormat="false" ht="15.75" hidden="false" customHeight="false" outlineLevel="0" collapsed="false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</row>
    <row r="330" customFormat="false" ht="15.75" hidden="false" customHeight="false" outlineLevel="0" collapsed="false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</row>
    <row r="331" customFormat="false" ht="15.75" hidden="false" customHeight="false" outlineLevel="0" collapsed="false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</row>
    <row r="332" customFormat="false" ht="15.75" hidden="false" customHeight="false" outlineLevel="0" collapsed="false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</row>
    <row r="333" customFormat="false" ht="15.75" hidden="false" customHeight="false" outlineLevel="0" collapsed="false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</row>
    <row r="334" customFormat="false" ht="15.75" hidden="false" customHeight="false" outlineLevel="0" collapsed="false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</row>
    <row r="335" customFormat="false" ht="15.75" hidden="false" customHeight="false" outlineLevel="0" collapsed="false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</row>
    <row r="336" customFormat="false" ht="15.75" hidden="false" customHeight="false" outlineLevel="0" collapsed="false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</row>
    <row r="337" customFormat="false" ht="15.75" hidden="false" customHeight="false" outlineLevel="0" collapsed="false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</row>
    <row r="338" customFormat="false" ht="15.75" hidden="false" customHeight="false" outlineLevel="0" collapsed="false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</row>
    <row r="339" customFormat="false" ht="15.75" hidden="false" customHeight="false" outlineLevel="0" collapsed="false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</row>
    <row r="340" customFormat="false" ht="15.75" hidden="false" customHeight="false" outlineLevel="0" collapsed="false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</row>
    <row r="341" customFormat="false" ht="15.75" hidden="false" customHeight="false" outlineLevel="0" collapsed="false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</row>
    <row r="342" customFormat="false" ht="15.75" hidden="false" customHeight="false" outlineLevel="0" collapsed="false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</row>
    <row r="343" customFormat="false" ht="15.75" hidden="false" customHeight="false" outlineLevel="0" collapsed="false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</row>
    <row r="344" customFormat="false" ht="15.75" hidden="false" customHeight="false" outlineLevel="0" collapsed="false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</row>
    <row r="345" customFormat="false" ht="15.75" hidden="false" customHeight="false" outlineLevel="0" collapsed="false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</row>
    <row r="346" customFormat="false" ht="15.75" hidden="false" customHeight="false" outlineLevel="0" collapsed="false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</row>
    <row r="347" customFormat="false" ht="15.75" hidden="false" customHeight="false" outlineLevel="0" collapsed="false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</row>
    <row r="348" customFormat="false" ht="15.75" hidden="false" customHeight="false" outlineLevel="0" collapsed="false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</row>
    <row r="349" customFormat="false" ht="15.75" hidden="false" customHeight="false" outlineLevel="0" collapsed="false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</row>
    <row r="350" customFormat="false" ht="15.75" hidden="false" customHeight="false" outlineLevel="0" collapsed="false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</row>
    <row r="351" customFormat="false" ht="15.75" hidden="false" customHeight="false" outlineLevel="0" collapsed="false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</row>
    <row r="352" customFormat="false" ht="15.75" hidden="false" customHeight="false" outlineLevel="0" collapsed="false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</row>
    <row r="353" customFormat="false" ht="15.75" hidden="false" customHeight="false" outlineLevel="0" collapsed="false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</row>
    <row r="354" customFormat="false" ht="15.75" hidden="false" customHeight="false" outlineLevel="0" collapsed="false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</row>
    <row r="355" customFormat="false" ht="15.75" hidden="false" customHeight="false" outlineLevel="0" collapsed="false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</row>
    <row r="356" customFormat="false" ht="15.75" hidden="false" customHeight="false" outlineLevel="0" collapsed="false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</row>
    <row r="357" customFormat="false" ht="15.75" hidden="false" customHeight="false" outlineLevel="0" collapsed="false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</row>
    <row r="358" customFormat="false" ht="15.75" hidden="false" customHeight="false" outlineLevel="0" collapsed="false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</row>
    <row r="359" customFormat="false" ht="15.75" hidden="false" customHeight="false" outlineLevel="0" collapsed="false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</row>
    <row r="360" customFormat="false" ht="15.75" hidden="false" customHeight="false" outlineLevel="0" collapsed="false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</row>
    <row r="361" customFormat="false" ht="15.75" hidden="false" customHeight="false" outlineLevel="0" collapsed="false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</row>
    <row r="362" customFormat="false" ht="15.75" hidden="false" customHeight="false" outlineLevel="0" collapsed="false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</row>
    <row r="363" customFormat="false" ht="15.75" hidden="false" customHeight="false" outlineLevel="0" collapsed="false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</row>
    <row r="364" customFormat="false" ht="15.75" hidden="false" customHeight="false" outlineLevel="0" collapsed="false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</row>
    <row r="365" customFormat="false" ht="15.75" hidden="false" customHeight="false" outlineLevel="0" collapsed="false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</row>
    <row r="366" customFormat="false" ht="15.75" hidden="false" customHeight="false" outlineLevel="0" collapsed="false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</row>
    <row r="367" customFormat="false" ht="15.75" hidden="false" customHeight="false" outlineLevel="0" collapsed="false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</row>
    <row r="368" customFormat="false" ht="15.75" hidden="false" customHeight="false" outlineLevel="0" collapsed="false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</row>
    <row r="369" customFormat="false" ht="15.75" hidden="false" customHeight="false" outlineLevel="0" collapsed="false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</row>
    <row r="370" customFormat="false" ht="15.75" hidden="false" customHeight="false" outlineLevel="0" collapsed="false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</row>
    <row r="371" customFormat="false" ht="15.75" hidden="false" customHeight="false" outlineLevel="0" collapsed="false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</row>
    <row r="372" customFormat="false" ht="15.75" hidden="false" customHeight="false" outlineLevel="0" collapsed="false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</row>
    <row r="373" customFormat="false" ht="15.75" hidden="false" customHeight="false" outlineLevel="0" collapsed="false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</row>
    <row r="374" customFormat="false" ht="15.75" hidden="false" customHeight="false" outlineLevel="0" collapsed="false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</row>
    <row r="375" customFormat="false" ht="15.75" hidden="false" customHeight="false" outlineLevel="0" collapsed="false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</row>
    <row r="376" customFormat="false" ht="15.75" hidden="false" customHeight="false" outlineLevel="0" collapsed="false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</row>
    <row r="377" customFormat="false" ht="15.75" hidden="false" customHeight="false" outlineLevel="0" collapsed="false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</row>
    <row r="378" customFormat="false" ht="15.75" hidden="false" customHeight="false" outlineLevel="0" collapsed="false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</row>
    <row r="379" customFormat="false" ht="15.75" hidden="false" customHeight="false" outlineLevel="0" collapsed="false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</row>
    <row r="380" customFormat="false" ht="15.75" hidden="false" customHeight="false" outlineLevel="0" collapsed="false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</row>
    <row r="381" customFormat="false" ht="15.75" hidden="false" customHeight="false" outlineLevel="0" collapsed="false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</row>
    <row r="382" customFormat="false" ht="15.75" hidden="false" customHeight="false" outlineLevel="0" collapsed="false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</row>
    <row r="383" customFormat="false" ht="15.75" hidden="false" customHeight="false" outlineLevel="0" collapsed="false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</row>
    <row r="384" customFormat="false" ht="15.75" hidden="false" customHeight="false" outlineLevel="0" collapsed="false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</row>
    <row r="385" customFormat="false" ht="15.75" hidden="false" customHeight="false" outlineLevel="0" collapsed="false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</row>
    <row r="386" customFormat="false" ht="15.75" hidden="false" customHeight="false" outlineLevel="0" collapsed="false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</row>
    <row r="387" customFormat="false" ht="15.75" hidden="false" customHeight="false" outlineLevel="0" collapsed="false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</row>
    <row r="388" customFormat="false" ht="15.75" hidden="false" customHeight="false" outlineLevel="0" collapsed="false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</row>
    <row r="389" customFormat="false" ht="15.75" hidden="false" customHeight="false" outlineLevel="0" collapsed="false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</row>
    <row r="390" customFormat="false" ht="15.75" hidden="false" customHeight="false" outlineLevel="0" collapsed="false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</row>
    <row r="391" customFormat="false" ht="15.75" hidden="false" customHeight="false" outlineLevel="0" collapsed="false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</row>
    <row r="392" customFormat="false" ht="15.75" hidden="false" customHeight="false" outlineLevel="0" collapsed="false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</row>
    <row r="393" customFormat="false" ht="15.75" hidden="false" customHeight="false" outlineLevel="0" collapsed="false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</row>
    <row r="394" customFormat="false" ht="15.75" hidden="false" customHeight="false" outlineLevel="0" collapsed="false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</row>
    <row r="395" customFormat="false" ht="15.75" hidden="false" customHeight="false" outlineLevel="0" collapsed="false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</row>
    <row r="396" customFormat="false" ht="15.75" hidden="false" customHeight="false" outlineLevel="0" collapsed="false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</row>
    <row r="397" customFormat="false" ht="15.75" hidden="false" customHeight="false" outlineLevel="0" collapsed="false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</row>
    <row r="398" customFormat="false" ht="15.75" hidden="false" customHeight="false" outlineLevel="0" collapsed="false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</row>
    <row r="399" customFormat="false" ht="15.75" hidden="false" customHeight="false" outlineLevel="0" collapsed="false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</row>
    <row r="400" customFormat="false" ht="15.75" hidden="false" customHeight="false" outlineLevel="0" collapsed="false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</row>
    <row r="401" customFormat="false" ht="15.75" hidden="false" customHeight="false" outlineLevel="0" collapsed="false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</row>
    <row r="402" customFormat="false" ht="15.75" hidden="false" customHeight="false" outlineLevel="0" collapsed="false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</row>
    <row r="403" customFormat="false" ht="15.75" hidden="false" customHeight="false" outlineLevel="0" collapsed="false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</row>
    <row r="404" customFormat="false" ht="15.75" hidden="false" customHeight="false" outlineLevel="0" collapsed="false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</row>
    <row r="405" customFormat="false" ht="15.75" hidden="false" customHeight="false" outlineLevel="0" collapsed="false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</row>
    <row r="406" customFormat="false" ht="15.75" hidden="false" customHeight="false" outlineLevel="0" collapsed="false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</row>
    <row r="407" customFormat="false" ht="15.75" hidden="false" customHeight="false" outlineLevel="0" collapsed="false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</row>
    <row r="408" customFormat="false" ht="15.75" hidden="false" customHeight="false" outlineLevel="0" collapsed="false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</row>
    <row r="409" customFormat="false" ht="15.75" hidden="false" customHeight="false" outlineLevel="0" collapsed="false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</row>
    <row r="410" customFormat="false" ht="15.75" hidden="false" customHeight="false" outlineLevel="0" collapsed="false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</row>
    <row r="411" customFormat="false" ht="15.75" hidden="false" customHeight="false" outlineLevel="0" collapsed="false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</row>
    <row r="412" customFormat="false" ht="15.75" hidden="false" customHeight="false" outlineLevel="0" collapsed="false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</row>
    <row r="413" customFormat="false" ht="15.75" hidden="false" customHeight="false" outlineLevel="0" collapsed="false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</row>
    <row r="414" customFormat="false" ht="15.75" hidden="false" customHeight="false" outlineLevel="0" collapsed="false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</row>
    <row r="415" customFormat="false" ht="15.75" hidden="false" customHeight="false" outlineLevel="0" collapsed="false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</row>
    <row r="416" customFormat="false" ht="15.75" hidden="false" customHeight="false" outlineLevel="0" collapsed="false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</row>
    <row r="417" customFormat="false" ht="15.75" hidden="false" customHeight="false" outlineLevel="0" collapsed="false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</row>
    <row r="418" customFormat="false" ht="15.75" hidden="false" customHeight="false" outlineLevel="0" collapsed="false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</row>
    <row r="419" customFormat="false" ht="15.75" hidden="false" customHeight="false" outlineLevel="0" collapsed="false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</row>
    <row r="420" customFormat="false" ht="15.75" hidden="false" customHeight="false" outlineLevel="0" collapsed="false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</row>
    <row r="421" customFormat="false" ht="15.75" hidden="false" customHeight="false" outlineLevel="0" collapsed="false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</row>
    <row r="422" customFormat="false" ht="15.75" hidden="false" customHeight="false" outlineLevel="0" collapsed="false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</row>
    <row r="423" customFormat="false" ht="15.75" hidden="false" customHeight="false" outlineLevel="0" collapsed="false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</row>
    <row r="424" customFormat="false" ht="15.75" hidden="false" customHeight="false" outlineLevel="0" collapsed="false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</row>
    <row r="425" customFormat="false" ht="15.75" hidden="false" customHeight="false" outlineLevel="0" collapsed="false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</row>
    <row r="426" customFormat="false" ht="15.75" hidden="false" customHeight="false" outlineLevel="0" collapsed="false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</row>
    <row r="427" customFormat="false" ht="15.75" hidden="false" customHeight="false" outlineLevel="0" collapsed="false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</row>
    <row r="428" customFormat="false" ht="15.75" hidden="false" customHeight="false" outlineLevel="0" collapsed="false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</row>
    <row r="429" customFormat="false" ht="15.75" hidden="false" customHeight="false" outlineLevel="0" collapsed="false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</row>
    <row r="430" customFormat="false" ht="15.75" hidden="false" customHeight="false" outlineLevel="0" collapsed="false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</row>
    <row r="431" customFormat="false" ht="15.75" hidden="false" customHeight="false" outlineLevel="0" collapsed="false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</row>
    <row r="432" customFormat="false" ht="15.75" hidden="false" customHeight="false" outlineLevel="0" collapsed="false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</row>
    <row r="433" customFormat="false" ht="15.75" hidden="false" customHeight="false" outlineLevel="0" collapsed="false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</row>
    <row r="434" customFormat="false" ht="15.75" hidden="false" customHeight="false" outlineLevel="0" collapsed="false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</row>
    <row r="435" customFormat="false" ht="15.75" hidden="false" customHeight="false" outlineLevel="0" collapsed="false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</row>
    <row r="436" customFormat="false" ht="15.75" hidden="false" customHeight="false" outlineLevel="0" collapsed="false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</row>
    <row r="437" customFormat="false" ht="15.75" hidden="false" customHeight="false" outlineLevel="0" collapsed="false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</row>
    <row r="438" customFormat="false" ht="15.75" hidden="false" customHeight="false" outlineLevel="0" collapsed="false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</row>
    <row r="439" customFormat="false" ht="15.75" hidden="false" customHeight="false" outlineLevel="0" collapsed="false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</row>
    <row r="440" customFormat="false" ht="15.75" hidden="false" customHeight="false" outlineLevel="0" collapsed="false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</row>
    <row r="441" customFormat="false" ht="15.75" hidden="false" customHeight="false" outlineLevel="0" collapsed="false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</row>
    <row r="442" customFormat="false" ht="15.75" hidden="false" customHeight="false" outlineLevel="0" collapsed="false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</row>
    <row r="443" customFormat="false" ht="15.75" hidden="false" customHeight="false" outlineLevel="0" collapsed="false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</row>
    <row r="444" customFormat="false" ht="15.75" hidden="false" customHeight="false" outlineLevel="0" collapsed="false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</row>
    <row r="445" customFormat="false" ht="15.75" hidden="false" customHeight="false" outlineLevel="0" collapsed="false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</row>
    <row r="446" customFormat="false" ht="15.75" hidden="false" customHeight="false" outlineLevel="0" collapsed="false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</row>
    <row r="447" customFormat="false" ht="15.75" hidden="false" customHeight="false" outlineLevel="0" collapsed="false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</row>
    <row r="448" customFormat="false" ht="15.75" hidden="false" customHeight="false" outlineLevel="0" collapsed="false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</row>
    <row r="449" customFormat="false" ht="15.75" hidden="false" customHeight="false" outlineLevel="0" collapsed="false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</row>
    <row r="450" customFormat="false" ht="15.75" hidden="false" customHeight="false" outlineLevel="0" collapsed="false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</row>
    <row r="451" customFormat="false" ht="15.75" hidden="false" customHeight="false" outlineLevel="0" collapsed="false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</row>
    <row r="452" customFormat="false" ht="15.75" hidden="false" customHeight="false" outlineLevel="0" collapsed="false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</row>
    <row r="453" customFormat="false" ht="15.75" hidden="false" customHeight="false" outlineLevel="0" collapsed="false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</row>
    <row r="454" customFormat="false" ht="15.75" hidden="false" customHeight="false" outlineLevel="0" collapsed="false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</row>
    <row r="455" customFormat="false" ht="15.75" hidden="false" customHeight="false" outlineLevel="0" collapsed="false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</row>
    <row r="456" customFormat="false" ht="15.75" hidden="false" customHeight="false" outlineLevel="0" collapsed="false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</row>
    <row r="457" customFormat="false" ht="15.75" hidden="false" customHeight="false" outlineLevel="0" collapsed="false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</row>
    <row r="458" customFormat="false" ht="15.75" hidden="false" customHeight="false" outlineLevel="0" collapsed="false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</row>
    <row r="459" customFormat="false" ht="15.75" hidden="false" customHeight="false" outlineLevel="0" collapsed="false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</row>
    <row r="460" customFormat="false" ht="15.75" hidden="false" customHeight="false" outlineLevel="0" collapsed="false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</row>
    <row r="461" customFormat="false" ht="15.75" hidden="false" customHeight="false" outlineLevel="0" collapsed="false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</row>
    <row r="462" customFormat="false" ht="15.75" hidden="false" customHeight="false" outlineLevel="0" collapsed="false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</row>
    <row r="463" customFormat="false" ht="15.75" hidden="false" customHeight="false" outlineLevel="0" collapsed="false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</row>
    <row r="464" customFormat="false" ht="15.75" hidden="false" customHeight="false" outlineLevel="0" collapsed="false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</row>
    <row r="465" customFormat="false" ht="15.75" hidden="false" customHeight="false" outlineLevel="0" collapsed="false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</row>
    <row r="466" customFormat="false" ht="15.75" hidden="false" customHeight="false" outlineLevel="0" collapsed="false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</row>
    <row r="467" customFormat="false" ht="15.75" hidden="false" customHeight="false" outlineLevel="0" collapsed="false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</row>
    <row r="468" customFormat="false" ht="15.75" hidden="false" customHeight="false" outlineLevel="0" collapsed="false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</row>
    <row r="469" customFormat="false" ht="15.75" hidden="false" customHeight="false" outlineLevel="0" collapsed="false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</row>
    <row r="470" customFormat="false" ht="15.75" hidden="false" customHeight="false" outlineLevel="0" collapsed="false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</row>
    <row r="471" customFormat="false" ht="15.75" hidden="false" customHeight="false" outlineLevel="0" collapsed="false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</row>
    <row r="472" customFormat="false" ht="15.75" hidden="false" customHeight="false" outlineLevel="0" collapsed="false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</row>
    <row r="473" customFormat="false" ht="15.75" hidden="false" customHeight="false" outlineLevel="0" collapsed="false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</row>
    <row r="474" customFormat="false" ht="15.75" hidden="false" customHeight="false" outlineLevel="0" collapsed="false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</row>
    <row r="475" customFormat="false" ht="15.75" hidden="false" customHeight="false" outlineLevel="0" collapsed="false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</row>
    <row r="476" customFormat="false" ht="15.75" hidden="false" customHeight="false" outlineLevel="0" collapsed="false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</row>
    <row r="477" customFormat="false" ht="15.75" hidden="false" customHeight="false" outlineLevel="0" collapsed="false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</row>
    <row r="478" customFormat="false" ht="15.75" hidden="false" customHeight="false" outlineLevel="0" collapsed="false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</row>
    <row r="479" customFormat="false" ht="15.75" hidden="false" customHeight="false" outlineLevel="0" collapsed="false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</row>
    <row r="480" customFormat="false" ht="15.75" hidden="false" customHeight="false" outlineLevel="0" collapsed="false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</row>
    <row r="481" customFormat="false" ht="15.75" hidden="false" customHeight="false" outlineLevel="0" collapsed="false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</row>
    <row r="482" customFormat="false" ht="15.75" hidden="false" customHeight="false" outlineLevel="0" collapsed="false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</row>
    <row r="483" customFormat="false" ht="15.75" hidden="false" customHeight="false" outlineLevel="0" collapsed="false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</row>
    <row r="484" customFormat="false" ht="15.75" hidden="false" customHeight="false" outlineLevel="0" collapsed="false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</row>
    <row r="485" customFormat="false" ht="15.75" hidden="false" customHeight="false" outlineLevel="0" collapsed="false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</row>
    <row r="486" customFormat="false" ht="15.75" hidden="false" customHeight="false" outlineLevel="0" collapsed="false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</row>
    <row r="487" customFormat="false" ht="15.75" hidden="false" customHeight="false" outlineLevel="0" collapsed="false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</row>
    <row r="488" customFormat="false" ht="15.75" hidden="false" customHeight="false" outlineLevel="0" collapsed="false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</row>
    <row r="489" customFormat="false" ht="15.75" hidden="false" customHeight="false" outlineLevel="0" collapsed="false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</row>
    <row r="490" customFormat="false" ht="15.75" hidden="false" customHeight="false" outlineLevel="0" collapsed="false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</row>
    <row r="491" customFormat="false" ht="15.75" hidden="false" customHeight="false" outlineLevel="0" collapsed="false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</row>
    <row r="492" customFormat="false" ht="15.75" hidden="false" customHeight="false" outlineLevel="0" collapsed="false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</row>
    <row r="493" customFormat="false" ht="15.75" hidden="false" customHeight="false" outlineLevel="0" collapsed="false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</row>
    <row r="494" customFormat="false" ht="15.75" hidden="false" customHeight="false" outlineLevel="0" collapsed="false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</row>
    <row r="495" customFormat="false" ht="15.75" hidden="false" customHeight="false" outlineLevel="0" collapsed="false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</row>
    <row r="496" customFormat="false" ht="15.75" hidden="false" customHeight="false" outlineLevel="0" collapsed="false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</row>
    <row r="497" customFormat="false" ht="15.75" hidden="false" customHeight="false" outlineLevel="0" collapsed="false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</row>
    <row r="498" customFormat="false" ht="15.75" hidden="false" customHeight="false" outlineLevel="0" collapsed="false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</row>
    <row r="499" customFormat="false" ht="15.75" hidden="false" customHeight="false" outlineLevel="0" collapsed="false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</row>
    <row r="500" customFormat="false" ht="15.75" hidden="false" customHeight="false" outlineLevel="0" collapsed="false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</row>
    <row r="501" customFormat="false" ht="15.75" hidden="false" customHeight="false" outlineLevel="0" collapsed="false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</row>
    <row r="502" customFormat="false" ht="15.75" hidden="false" customHeight="false" outlineLevel="0" collapsed="false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</row>
    <row r="503" customFormat="false" ht="15.75" hidden="false" customHeight="false" outlineLevel="0" collapsed="false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</row>
    <row r="504" customFormat="false" ht="15.75" hidden="false" customHeight="false" outlineLevel="0" collapsed="false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</row>
    <row r="505" customFormat="false" ht="15.75" hidden="false" customHeight="false" outlineLevel="0" collapsed="false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</row>
    <row r="506" customFormat="false" ht="15.75" hidden="false" customHeight="false" outlineLevel="0" collapsed="false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</row>
    <row r="507" customFormat="false" ht="15.75" hidden="false" customHeight="false" outlineLevel="0" collapsed="false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</row>
    <row r="508" customFormat="false" ht="15.75" hidden="false" customHeight="false" outlineLevel="0" collapsed="false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</row>
    <row r="509" customFormat="false" ht="15.75" hidden="false" customHeight="false" outlineLevel="0" collapsed="false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</row>
    <row r="510" customFormat="false" ht="15.75" hidden="false" customHeight="false" outlineLevel="0" collapsed="false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</row>
    <row r="511" customFormat="false" ht="15.75" hidden="false" customHeight="false" outlineLevel="0" collapsed="false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</row>
    <row r="512" customFormat="false" ht="15.75" hidden="false" customHeight="false" outlineLevel="0" collapsed="false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</row>
    <row r="513" customFormat="false" ht="15.75" hidden="false" customHeight="false" outlineLevel="0" collapsed="false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</row>
    <row r="514" customFormat="false" ht="15.75" hidden="false" customHeight="false" outlineLevel="0" collapsed="false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</row>
    <row r="515" customFormat="false" ht="15.75" hidden="false" customHeight="false" outlineLevel="0" collapsed="false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</row>
    <row r="516" customFormat="false" ht="15.75" hidden="false" customHeight="false" outlineLevel="0" collapsed="false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</row>
    <row r="517" customFormat="false" ht="15.75" hidden="false" customHeight="false" outlineLevel="0" collapsed="false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</row>
    <row r="518" customFormat="false" ht="15.75" hidden="false" customHeight="false" outlineLevel="0" collapsed="false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</row>
    <row r="519" customFormat="false" ht="15.75" hidden="false" customHeight="false" outlineLevel="0" collapsed="false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</row>
    <row r="520" customFormat="false" ht="15.75" hidden="false" customHeight="false" outlineLevel="0" collapsed="false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</row>
    <row r="521" customFormat="false" ht="15.75" hidden="false" customHeight="false" outlineLevel="0" collapsed="false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</row>
    <row r="522" customFormat="false" ht="15.75" hidden="false" customHeight="false" outlineLevel="0" collapsed="false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</row>
    <row r="523" customFormat="false" ht="15.75" hidden="false" customHeight="false" outlineLevel="0" collapsed="false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</row>
    <row r="524" customFormat="false" ht="15.75" hidden="false" customHeight="false" outlineLevel="0" collapsed="false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</row>
    <row r="525" customFormat="false" ht="15.75" hidden="false" customHeight="false" outlineLevel="0" collapsed="false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</row>
    <row r="526" customFormat="false" ht="15.75" hidden="false" customHeight="false" outlineLevel="0" collapsed="false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</row>
    <row r="527" customFormat="false" ht="15.75" hidden="false" customHeight="false" outlineLevel="0" collapsed="false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</row>
    <row r="528" customFormat="false" ht="15.75" hidden="false" customHeight="false" outlineLevel="0" collapsed="false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</row>
    <row r="529" customFormat="false" ht="15.75" hidden="false" customHeight="false" outlineLevel="0" collapsed="false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</row>
    <row r="530" customFormat="false" ht="15.75" hidden="false" customHeight="false" outlineLevel="0" collapsed="false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</row>
    <row r="531" customFormat="false" ht="15.75" hidden="false" customHeight="false" outlineLevel="0" collapsed="false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</row>
    <row r="532" customFormat="false" ht="15.75" hidden="false" customHeight="false" outlineLevel="0" collapsed="false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</row>
    <row r="533" customFormat="false" ht="15.75" hidden="false" customHeight="false" outlineLevel="0" collapsed="false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</row>
    <row r="534" customFormat="false" ht="15.75" hidden="false" customHeight="false" outlineLevel="0" collapsed="false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</row>
    <row r="535" customFormat="false" ht="15.75" hidden="false" customHeight="false" outlineLevel="0" collapsed="false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</row>
    <row r="536" customFormat="false" ht="15.75" hidden="false" customHeight="false" outlineLevel="0" collapsed="false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</row>
    <row r="537" customFormat="false" ht="15.75" hidden="false" customHeight="false" outlineLevel="0" collapsed="false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</row>
    <row r="538" customFormat="false" ht="15.75" hidden="false" customHeight="false" outlineLevel="0" collapsed="false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</row>
    <row r="539" customFormat="false" ht="15.75" hidden="false" customHeight="false" outlineLevel="0" collapsed="false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</row>
    <row r="540" customFormat="false" ht="15.75" hidden="false" customHeight="false" outlineLevel="0" collapsed="false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</row>
    <row r="541" customFormat="false" ht="15.75" hidden="false" customHeight="false" outlineLevel="0" collapsed="false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</row>
    <row r="542" customFormat="false" ht="15.75" hidden="false" customHeight="false" outlineLevel="0" collapsed="false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</row>
    <row r="543" customFormat="false" ht="15.75" hidden="false" customHeight="false" outlineLevel="0" collapsed="false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</row>
    <row r="544" customFormat="false" ht="15.75" hidden="false" customHeight="false" outlineLevel="0" collapsed="false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</row>
    <row r="545" customFormat="false" ht="15.75" hidden="false" customHeight="false" outlineLevel="0" collapsed="false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</row>
    <row r="546" customFormat="false" ht="15.75" hidden="false" customHeight="false" outlineLevel="0" collapsed="false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</row>
    <row r="547" customFormat="false" ht="15.75" hidden="false" customHeight="false" outlineLevel="0" collapsed="false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</row>
    <row r="548" customFormat="false" ht="15.75" hidden="false" customHeight="false" outlineLevel="0" collapsed="false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</row>
    <row r="549" customFormat="false" ht="15.75" hidden="false" customHeight="false" outlineLevel="0" collapsed="false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</row>
    <row r="550" customFormat="false" ht="15.75" hidden="false" customHeight="false" outlineLevel="0" collapsed="false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</row>
    <row r="551" customFormat="false" ht="15.75" hidden="false" customHeight="false" outlineLevel="0" collapsed="false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</row>
    <row r="552" customFormat="false" ht="15.75" hidden="false" customHeight="false" outlineLevel="0" collapsed="false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</row>
    <row r="553" customFormat="false" ht="15.75" hidden="false" customHeight="false" outlineLevel="0" collapsed="false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</row>
    <row r="554" customFormat="false" ht="15.75" hidden="false" customHeight="false" outlineLevel="0" collapsed="false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</row>
    <row r="555" customFormat="false" ht="15.75" hidden="false" customHeight="false" outlineLevel="0" collapsed="false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</row>
    <row r="556" customFormat="false" ht="15.75" hidden="false" customHeight="false" outlineLevel="0" collapsed="false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</row>
    <row r="557" customFormat="false" ht="15.75" hidden="false" customHeight="false" outlineLevel="0" collapsed="false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</row>
    <row r="558" customFormat="false" ht="15.75" hidden="false" customHeight="false" outlineLevel="0" collapsed="false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</row>
    <row r="559" customFormat="false" ht="15.75" hidden="false" customHeight="false" outlineLevel="0" collapsed="false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</row>
    <row r="560" customFormat="false" ht="15.75" hidden="false" customHeight="false" outlineLevel="0" collapsed="false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</row>
    <row r="561" customFormat="false" ht="15.75" hidden="false" customHeight="false" outlineLevel="0" collapsed="false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</row>
    <row r="562" customFormat="false" ht="15.75" hidden="false" customHeight="false" outlineLevel="0" collapsed="false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</row>
    <row r="563" customFormat="false" ht="15.75" hidden="false" customHeight="false" outlineLevel="0" collapsed="false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</row>
    <row r="564" customFormat="false" ht="15.75" hidden="false" customHeight="false" outlineLevel="0" collapsed="false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</row>
    <row r="565" customFormat="false" ht="15.75" hidden="false" customHeight="false" outlineLevel="0" collapsed="false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</row>
    <row r="566" customFormat="false" ht="15.75" hidden="false" customHeight="false" outlineLevel="0" collapsed="false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</row>
    <row r="567" customFormat="false" ht="15.75" hidden="false" customHeight="false" outlineLevel="0" collapsed="false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</row>
    <row r="568" customFormat="false" ht="15.75" hidden="false" customHeight="false" outlineLevel="0" collapsed="false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</row>
    <row r="569" customFormat="false" ht="15.75" hidden="false" customHeight="false" outlineLevel="0" collapsed="false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</row>
    <row r="570" customFormat="false" ht="15.75" hidden="false" customHeight="false" outlineLevel="0" collapsed="false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</row>
    <row r="571" customFormat="false" ht="15.75" hidden="false" customHeight="false" outlineLevel="0" collapsed="false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</row>
    <row r="572" customFormat="false" ht="15.75" hidden="false" customHeight="false" outlineLevel="0" collapsed="false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</row>
    <row r="573" customFormat="false" ht="15.75" hidden="false" customHeight="false" outlineLevel="0" collapsed="false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</row>
    <row r="574" customFormat="false" ht="15.75" hidden="false" customHeight="false" outlineLevel="0" collapsed="false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</row>
    <row r="575" customFormat="false" ht="15.75" hidden="false" customHeight="false" outlineLevel="0" collapsed="false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</row>
    <row r="576" customFormat="false" ht="15.75" hidden="false" customHeight="false" outlineLevel="0" collapsed="false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</row>
    <row r="577" customFormat="false" ht="15.75" hidden="false" customHeight="false" outlineLevel="0" collapsed="false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</row>
    <row r="578" customFormat="false" ht="15.75" hidden="false" customHeight="false" outlineLevel="0" collapsed="false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</row>
    <row r="579" customFormat="false" ht="15.75" hidden="false" customHeight="false" outlineLevel="0" collapsed="false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</row>
    <row r="580" customFormat="false" ht="15.75" hidden="false" customHeight="false" outlineLevel="0" collapsed="false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</row>
    <row r="581" customFormat="false" ht="15.75" hidden="false" customHeight="false" outlineLevel="0" collapsed="false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</row>
    <row r="582" customFormat="false" ht="15.75" hidden="false" customHeight="false" outlineLevel="0" collapsed="false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</row>
    <row r="583" customFormat="false" ht="15.75" hidden="false" customHeight="false" outlineLevel="0" collapsed="false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</row>
    <row r="584" customFormat="false" ht="15.75" hidden="false" customHeight="false" outlineLevel="0" collapsed="false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</row>
    <row r="585" customFormat="false" ht="15.75" hidden="false" customHeight="false" outlineLevel="0" collapsed="false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</row>
    <row r="586" customFormat="false" ht="15.75" hidden="false" customHeight="false" outlineLevel="0" collapsed="false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</row>
    <row r="587" customFormat="false" ht="15.75" hidden="false" customHeight="false" outlineLevel="0" collapsed="false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</row>
    <row r="588" customFormat="false" ht="15.75" hidden="false" customHeight="false" outlineLevel="0" collapsed="false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</row>
    <row r="589" customFormat="false" ht="15.75" hidden="false" customHeight="false" outlineLevel="0" collapsed="false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</row>
    <row r="590" customFormat="false" ht="15.75" hidden="false" customHeight="false" outlineLevel="0" collapsed="false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</row>
    <row r="591" customFormat="false" ht="15.75" hidden="false" customHeight="false" outlineLevel="0" collapsed="false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</row>
    <row r="592" customFormat="false" ht="15.75" hidden="false" customHeight="false" outlineLevel="0" collapsed="false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</row>
    <row r="593" customFormat="false" ht="15.75" hidden="false" customHeight="false" outlineLevel="0" collapsed="false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</row>
    <row r="594" customFormat="false" ht="15.75" hidden="false" customHeight="false" outlineLevel="0" collapsed="false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</row>
    <row r="595" customFormat="false" ht="15.75" hidden="false" customHeight="false" outlineLevel="0" collapsed="false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</row>
    <row r="596" customFormat="false" ht="15.75" hidden="false" customHeight="false" outlineLevel="0" collapsed="false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</row>
    <row r="597" customFormat="false" ht="15.75" hidden="false" customHeight="false" outlineLevel="0" collapsed="false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</row>
    <row r="598" customFormat="false" ht="15.75" hidden="false" customHeight="false" outlineLevel="0" collapsed="false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</row>
    <row r="599" customFormat="false" ht="15.75" hidden="false" customHeight="false" outlineLevel="0" collapsed="false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</row>
    <row r="600" customFormat="false" ht="15.75" hidden="false" customHeight="false" outlineLevel="0" collapsed="false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</row>
    <row r="601" customFormat="false" ht="15.75" hidden="false" customHeight="false" outlineLevel="0" collapsed="false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</row>
    <row r="602" customFormat="false" ht="15.75" hidden="false" customHeight="false" outlineLevel="0" collapsed="false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</row>
    <row r="603" customFormat="false" ht="15.75" hidden="false" customHeight="false" outlineLevel="0" collapsed="false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</row>
    <row r="604" customFormat="false" ht="15.75" hidden="false" customHeight="false" outlineLevel="0" collapsed="false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</row>
    <row r="605" customFormat="false" ht="15.75" hidden="false" customHeight="false" outlineLevel="0" collapsed="false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</row>
    <row r="606" customFormat="false" ht="15.75" hidden="false" customHeight="false" outlineLevel="0" collapsed="false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</row>
    <row r="607" customFormat="false" ht="15.75" hidden="false" customHeight="false" outlineLevel="0" collapsed="false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</row>
    <row r="608" customFormat="false" ht="15.75" hidden="false" customHeight="false" outlineLevel="0" collapsed="false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</row>
    <row r="609" customFormat="false" ht="15.75" hidden="false" customHeight="false" outlineLevel="0" collapsed="false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</row>
    <row r="610" customFormat="false" ht="15.75" hidden="false" customHeight="false" outlineLevel="0" collapsed="false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</row>
    <row r="611" customFormat="false" ht="15.75" hidden="false" customHeight="false" outlineLevel="0" collapsed="false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</row>
    <row r="612" customFormat="false" ht="15.75" hidden="false" customHeight="false" outlineLevel="0" collapsed="false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</row>
    <row r="613" customFormat="false" ht="15.75" hidden="false" customHeight="false" outlineLevel="0" collapsed="false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</row>
    <row r="614" customFormat="false" ht="15.75" hidden="false" customHeight="false" outlineLevel="0" collapsed="false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</row>
    <row r="615" customFormat="false" ht="15.75" hidden="false" customHeight="false" outlineLevel="0" collapsed="false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</row>
    <row r="616" customFormat="false" ht="15.75" hidden="false" customHeight="false" outlineLevel="0" collapsed="false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</row>
    <row r="617" customFormat="false" ht="15.75" hidden="false" customHeight="false" outlineLevel="0" collapsed="false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</row>
    <row r="618" customFormat="false" ht="15.75" hidden="false" customHeight="false" outlineLevel="0" collapsed="false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</row>
    <row r="619" customFormat="false" ht="15.75" hidden="false" customHeight="false" outlineLevel="0" collapsed="false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</row>
    <row r="620" customFormat="false" ht="15.75" hidden="false" customHeight="false" outlineLevel="0" collapsed="false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</row>
    <row r="621" customFormat="false" ht="15.75" hidden="false" customHeight="false" outlineLevel="0" collapsed="false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</row>
    <row r="622" customFormat="false" ht="15.75" hidden="false" customHeight="false" outlineLevel="0" collapsed="false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</row>
    <row r="623" customFormat="false" ht="15.75" hidden="false" customHeight="false" outlineLevel="0" collapsed="false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</row>
    <row r="624" customFormat="false" ht="15.75" hidden="false" customHeight="false" outlineLevel="0" collapsed="false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</row>
    <row r="625" customFormat="false" ht="15.75" hidden="false" customHeight="false" outlineLevel="0" collapsed="false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</row>
    <row r="626" customFormat="false" ht="15.75" hidden="false" customHeight="false" outlineLevel="0" collapsed="false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</row>
    <row r="627" customFormat="false" ht="15.75" hidden="false" customHeight="false" outlineLevel="0" collapsed="false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</row>
    <row r="628" customFormat="false" ht="15.75" hidden="false" customHeight="false" outlineLevel="0" collapsed="false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</row>
    <row r="629" customFormat="false" ht="15.75" hidden="false" customHeight="false" outlineLevel="0" collapsed="false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</row>
    <row r="630" customFormat="false" ht="15.75" hidden="false" customHeight="false" outlineLevel="0" collapsed="false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</row>
    <row r="631" customFormat="false" ht="15.75" hidden="false" customHeight="false" outlineLevel="0" collapsed="false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</row>
    <row r="632" customFormat="false" ht="15.75" hidden="false" customHeight="false" outlineLevel="0" collapsed="false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</row>
    <row r="633" customFormat="false" ht="15.75" hidden="false" customHeight="false" outlineLevel="0" collapsed="false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</row>
    <row r="634" customFormat="false" ht="15.75" hidden="false" customHeight="false" outlineLevel="0" collapsed="false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</row>
    <row r="635" customFormat="false" ht="15.75" hidden="false" customHeight="false" outlineLevel="0" collapsed="false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</row>
    <row r="636" customFormat="false" ht="15.75" hidden="false" customHeight="false" outlineLevel="0" collapsed="false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</row>
    <row r="637" customFormat="false" ht="15.75" hidden="false" customHeight="false" outlineLevel="0" collapsed="false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</row>
    <row r="638" customFormat="false" ht="15.75" hidden="false" customHeight="false" outlineLevel="0" collapsed="false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</row>
    <row r="639" customFormat="false" ht="15.75" hidden="false" customHeight="false" outlineLevel="0" collapsed="false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</row>
    <row r="640" customFormat="false" ht="15.75" hidden="false" customHeight="false" outlineLevel="0" collapsed="false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</row>
    <row r="641" customFormat="false" ht="15.75" hidden="false" customHeight="false" outlineLevel="0" collapsed="false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</row>
    <row r="642" customFormat="false" ht="15.75" hidden="false" customHeight="false" outlineLevel="0" collapsed="false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</row>
    <row r="643" customFormat="false" ht="15.75" hidden="false" customHeight="false" outlineLevel="0" collapsed="false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</row>
    <row r="644" customFormat="false" ht="15.75" hidden="false" customHeight="false" outlineLevel="0" collapsed="false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</row>
    <row r="645" customFormat="false" ht="15.75" hidden="false" customHeight="false" outlineLevel="0" collapsed="false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</row>
    <row r="646" customFormat="false" ht="15.75" hidden="false" customHeight="false" outlineLevel="0" collapsed="false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</row>
    <row r="647" customFormat="false" ht="15.75" hidden="false" customHeight="false" outlineLevel="0" collapsed="false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</row>
    <row r="648" customFormat="false" ht="15.75" hidden="false" customHeight="false" outlineLevel="0" collapsed="false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</row>
    <row r="649" customFormat="false" ht="15.75" hidden="false" customHeight="false" outlineLevel="0" collapsed="false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</row>
    <row r="650" customFormat="false" ht="15.75" hidden="false" customHeight="false" outlineLevel="0" collapsed="false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</row>
    <row r="651" customFormat="false" ht="15.75" hidden="false" customHeight="false" outlineLevel="0" collapsed="false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</row>
    <row r="652" customFormat="false" ht="15.75" hidden="false" customHeight="false" outlineLevel="0" collapsed="false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</row>
    <row r="653" customFormat="false" ht="15.75" hidden="false" customHeight="false" outlineLevel="0" collapsed="false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</row>
    <row r="654" customFormat="false" ht="15.75" hidden="false" customHeight="false" outlineLevel="0" collapsed="false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</row>
    <row r="655" customFormat="false" ht="15.75" hidden="false" customHeight="false" outlineLevel="0" collapsed="false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</row>
    <row r="656" customFormat="false" ht="15.75" hidden="false" customHeight="false" outlineLevel="0" collapsed="false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</row>
    <row r="657" customFormat="false" ht="15.75" hidden="false" customHeight="false" outlineLevel="0" collapsed="false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</row>
    <row r="658" customFormat="false" ht="15.75" hidden="false" customHeight="false" outlineLevel="0" collapsed="false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</row>
    <row r="659" customFormat="false" ht="15.75" hidden="false" customHeight="false" outlineLevel="0" collapsed="false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</row>
    <row r="660" customFormat="false" ht="15.75" hidden="false" customHeight="false" outlineLevel="0" collapsed="false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</row>
    <row r="661" customFormat="false" ht="15.75" hidden="false" customHeight="false" outlineLevel="0" collapsed="false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</row>
    <row r="662" customFormat="false" ht="15.75" hidden="false" customHeight="false" outlineLevel="0" collapsed="false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</row>
    <row r="663" customFormat="false" ht="15.75" hidden="false" customHeight="false" outlineLevel="0" collapsed="false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</row>
    <row r="664" customFormat="false" ht="15.75" hidden="false" customHeight="false" outlineLevel="0" collapsed="false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</row>
    <row r="665" customFormat="false" ht="15.75" hidden="false" customHeight="false" outlineLevel="0" collapsed="false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</row>
    <row r="666" customFormat="false" ht="15.75" hidden="false" customHeight="false" outlineLevel="0" collapsed="false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</row>
    <row r="667" customFormat="false" ht="15.75" hidden="false" customHeight="false" outlineLevel="0" collapsed="false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</row>
    <row r="668" customFormat="false" ht="15.75" hidden="false" customHeight="false" outlineLevel="0" collapsed="false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</row>
    <row r="669" customFormat="false" ht="15.75" hidden="false" customHeight="false" outlineLevel="0" collapsed="false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</row>
    <row r="670" customFormat="false" ht="15.75" hidden="false" customHeight="false" outlineLevel="0" collapsed="false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</row>
    <row r="671" customFormat="false" ht="15.75" hidden="false" customHeight="false" outlineLevel="0" collapsed="false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</row>
    <row r="672" customFormat="false" ht="15.75" hidden="false" customHeight="false" outlineLevel="0" collapsed="false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</row>
    <row r="673" customFormat="false" ht="15.75" hidden="false" customHeight="false" outlineLevel="0" collapsed="false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</row>
    <row r="674" customFormat="false" ht="15.75" hidden="false" customHeight="false" outlineLevel="0" collapsed="false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</row>
    <row r="675" customFormat="false" ht="15.75" hidden="false" customHeight="false" outlineLevel="0" collapsed="false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</row>
    <row r="676" customFormat="false" ht="15.75" hidden="false" customHeight="false" outlineLevel="0" collapsed="false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</row>
    <row r="677" customFormat="false" ht="15.75" hidden="false" customHeight="false" outlineLevel="0" collapsed="false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</row>
    <row r="678" customFormat="false" ht="15.75" hidden="false" customHeight="false" outlineLevel="0" collapsed="false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</row>
    <row r="679" customFormat="false" ht="15.75" hidden="false" customHeight="false" outlineLevel="0" collapsed="false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</row>
    <row r="680" customFormat="false" ht="15.75" hidden="false" customHeight="false" outlineLevel="0" collapsed="false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</row>
    <row r="681" customFormat="false" ht="15.75" hidden="false" customHeight="false" outlineLevel="0" collapsed="false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</row>
    <row r="682" customFormat="false" ht="15.75" hidden="false" customHeight="false" outlineLevel="0" collapsed="false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</row>
    <row r="683" customFormat="false" ht="15.75" hidden="false" customHeight="false" outlineLevel="0" collapsed="false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</row>
    <row r="684" customFormat="false" ht="15.75" hidden="false" customHeight="false" outlineLevel="0" collapsed="false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</row>
    <row r="685" customFormat="false" ht="15.75" hidden="false" customHeight="false" outlineLevel="0" collapsed="false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</row>
    <row r="686" customFormat="false" ht="15.75" hidden="false" customHeight="false" outlineLevel="0" collapsed="false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</row>
    <row r="687" customFormat="false" ht="15.75" hidden="false" customHeight="false" outlineLevel="0" collapsed="false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</row>
    <row r="688" customFormat="false" ht="15.75" hidden="false" customHeight="false" outlineLevel="0" collapsed="false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</row>
    <row r="689" customFormat="false" ht="15.75" hidden="false" customHeight="false" outlineLevel="0" collapsed="false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</row>
    <row r="690" customFormat="false" ht="15.75" hidden="false" customHeight="false" outlineLevel="0" collapsed="false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</row>
    <row r="691" customFormat="false" ht="15.75" hidden="false" customHeight="false" outlineLevel="0" collapsed="false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</row>
    <row r="692" customFormat="false" ht="15.75" hidden="false" customHeight="false" outlineLevel="0" collapsed="false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</row>
    <row r="693" customFormat="false" ht="15.75" hidden="false" customHeight="false" outlineLevel="0" collapsed="false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</row>
    <row r="694" customFormat="false" ht="15.75" hidden="false" customHeight="false" outlineLevel="0" collapsed="false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</row>
    <row r="695" customFormat="false" ht="15.75" hidden="false" customHeight="false" outlineLevel="0" collapsed="false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</row>
    <row r="696" customFormat="false" ht="15.75" hidden="false" customHeight="false" outlineLevel="0" collapsed="false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</row>
    <row r="697" customFormat="false" ht="15.75" hidden="false" customHeight="false" outlineLevel="0" collapsed="false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</row>
    <row r="698" customFormat="false" ht="15.75" hidden="false" customHeight="false" outlineLevel="0" collapsed="false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</row>
    <row r="699" customFormat="false" ht="15.75" hidden="false" customHeight="false" outlineLevel="0" collapsed="false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</row>
    <row r="700" customFormat="false" ht="15.75" hidden="false" customHeight="false" outlineLevel="0" collapsed="false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</row>
    <row r="701" customFormat="false" ht="15.75" hidden="false" customHeight="false" outlineLevel="0" collapsed="false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</row>
    <row r="702" customFormat="false" ht="15.75" hidden="false" customHeight="false" outlineLevel="0" collapsed="false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</row>
    <row r="703" customFormat="false" ht="15.75" hidden="false" customHeight="false" outlineLevel="0" collapsed="false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</row>
    <row r="704" customFormat="false" ht="15.75" hidden="false" customHeight="false" outlineLevel="0" collapsed="false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</row>
    <row r="705" customFormat="false" ht="15.75" hidden="false" customHeight="false" outlineLevel="0" collapsed="false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</row>
    <row r="706" customFormat="false" ht="15.75" hidden="false" customHeight="false" outlineLevel="0" collapsed="false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</row>
    <row r="707" customFormat="false" ht="15.75" hidden="false" customHeight="false" outlineLevel="0" collapsed="false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</row>
    <row r="708" customFormat="false" ht="15.75" hidden="false" customHeight="false" outlineLevel="0" collapsed="false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</row>
    <row r="709" customFormat="false" ht="15.75" hidden="false" customHeight="false" outlineLevel="0" collapsed="false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</row>
    <row r="710" customFormat="false" ht="15.75" hidden="false" customHeight="false" outlineLevel="0" collapsed="false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</row>
    <row r="711" customFormat="false" ht="15.75" hidden="false" customHeight="false" outlineLevel="0" collapsed="false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</row>
    <row r="712" customFormat="false" ht="15.75" hidden="false" customHeight="false" outlineLevel="0" collapsed="false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</row>
    <row r="713" customFormat="false" ht="15.75" hidden="false" customHeight="false" outlineLevel="0" collapsed="false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</row>
    <row r="714" customFormat="false" ht="15.75" hidden="false" customHeight="false" outlineLevel="0" collapsed="false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</row>
    <row r="715" customFormat="false" ht="15.75" hidden="false" customHeight="false" outlineLevel="0" collapsed="false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</row>
    <row r="716" customFormat="false" ht="15.75" hidden="false" customHeight="false" outlineLevel="0" collapsed="false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</row>
    <row r="717" customFormat="false" ht="15.75" hidden="false" customHeight="false" outlineLevel="0" collapsed="false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</row>
    <row r="718" customFormat="false" ht="15.75" hidden="false" customHeight="false" outlineLevel="0" collapsed="false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</row>
    <row r="719" customFormat="false" ht="15.75" hidden="false" customHeight="false" outlineLevel="0" collapsed="false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</row>
    <row r="720" customFormat="false" ht="15.75" hidden="false" customHeight="false" outlineLevel="0" collapsed="false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</row>
    <row r="721" customFormat="false" ht="15.75" hidden="false" customHeight="false" outlineLevel="0" collapsed="false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</row>
    <row r="722" customFormat="false" ht="15.75" hidden="false" customHeight="false" outlineLevel="0" collapsed="false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</row>
    <row r="723" customFormat="false" ht="15.75" hidden="false" customHeight="false" outlineLevel="0" collapsed="false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</row>
    <row r="724" customFormat="false" ht="15.75" hidden="false" customHeight="false" outlineLevel="0" collapsed="false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</row>
    <row r="725" customFormat="false" ht="15.75" hidden="false" customHeight="false" outlineLevel="0" collapsed="false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</row>
    <row r="726" customFormat="false" ht="15.75" hidden="false" customHeight="false" outlineLevel="0" collapsed="false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</row>
    <row r="727" customFormat="false" ht="15.75" hidden="false" customHeight="false" outlineLevel="0" collapsed="false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</row>
    <row r="728" customFormat="false" ht="15.75" hidden="false" customHeight="false" outlineLevel="0" collapsed="false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</row>
    <row r="729" customFormat="false" ht="15.75" hidden="false" customHeight="false" outlineLevel="0" collapsed="false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</row>
    <row r="730" customFormat="false" ht="15.75" hidden="false" customHeight="false" outlineLevel="0" collapsed="false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</row>
    <row r="731" customFormat="false" ht="15.75" hidden="false" customHeight="false" outlineLevel="0" collapsed="false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</row>
    <row r="732" customFormat="false" ht="15.75" hidden="false" customHeight="false" outlineLevel="0" collapsed="false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</row>
    <row r="733" customFormat="false" ht="15.75" hidden="false" customHeight="false" outlineLevel="0" collapsed="false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</row>
    <row r="734" customFormat="false" ht="15.75" hidden="false" customHeight="false" outlineLevel="0" collapsed="false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</row>
    <row r="735" customFormat="false" ht="15.75" hidden="false" customHeight="false" outlineLevel="0" collapsed="false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</row>
    <row r="736" customFormat="false" ht="15.75" hidden="false" customHeight="false" outlineLevel="0" collapsed="false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</row>
    <row r="737" customFormat="false" ht="15.75" hidden="false" customHeight="false" outlineLevel="0" collapsed="false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</row>
    <row r="738" customFormat="false" ht="15.75" hidden="false" customHeight="false" outlineLevel="0" collapsed="false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</row>
    <row r="739" customFormat="false" ht="15.75" hidden="false" customHeight="false" outlineLevel="0" collapsed="false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</row>
    <row r="740" customFormat="false" ht="15.75" hidden="false" customHeight="false" outlineLevel="0" collapsed="false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</row>
    <row r="741" customFormat="false" ht="15.75" hidden="false" customHeight="false" outlineLevel="0" collapsed="false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</row>
    <row r="742" customFormat="false" ht="15.75" hidden="false" customHeight="false" outlineLevel="0" collapsed="false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</row>
    <row r="743" customFormat="false" ht="15.75" hidden="false" customHeight="false" outlineLevel="0" collapsed="false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</row>
    <row r="744" customFormat="false" ht="15.75" hidden="false" customHeight="false" outlineLevel="0" collapsed="false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</row>
    <row r="745" customFormat="false" ht="15.75" hidden="false" customHeight="false" outlineLevel="0" collapsed="false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</row>
    <row r="746" customFormat="false" ht="15.75" hidden="false" customHeight="false" outlineLevel="0" collapsed="false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</row>
    <row r="747" customFormat="false" ht="15.75" hidden="false" customHeight="false" outlineLevel="0" collapsed="false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</row>
    <row r="748" customFormat="false" ht="15.75" hidden="false" customHeight="false" outlineLevel="0" collapsed="false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</row>
    <row r="749" customFormat="false" ht="15.75" hidden="false" customHeight="false" outlineLevel="0" collapsed="false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</row>
    <row r="750" customFormat="false" ht="15.75" hidden="false" customHeight="false" outlineLevel="0" collapsed="false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</row>
    <row r="751" customFormat="false" ht="15.75" hidden="false" customHeight="false" outlineLevel="0" collapsed="false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</row>
    <row r="752" customFormat="false" ht="15.75" hidden="false" customHeight="false" outlineLevel="0" collapsed="false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</row>
    <row r="753" customFormat="false" ht="15.75" hidden="false" customHeight="false" outlineLevel="0" collapsed="false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</row>
    <row r="754" customFormat="false" ht="15.75" hidden="false" customHeight="false" outlineLevel="0" collapsed="false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</row>
    <row r="755" customFormat="false" ht="15.75" hidden="false" customHeight="false" outlineLevel="0" collapsed="false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</row>
    <row r="756" customFormat="false" ht="15.75" hidden="false" customHeight="false" outlineLevel="0" collapsed="false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</row>
    <row r="757" customFormat="false" ht="15.75" hidden="false" customHeight="false" outlineLevel="0" collapsed="false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</row>
    <row r="758" customFormat="false" ht="15.75" hidden="false" customHeight="false" outlineLevel="0" collapsed="false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</row>
    <row r="759" customFormat="false" ht="15.75" hidden="false" customHeight="false" outlineLevel="0" collapsed="false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</row>
    <row r="760" customFormat="false" ht="15.75" hidden="false" customHeight="false" outlineLevel="0" collapsed="false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</row>
    <row r="761" customFormat="false" ht="15.75" hidden="false" customHeight="false" outlineLevel="0" collapsed="false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</row>
    <row r="762" customFormat="false" ht="15.75" hidden="false" customHeight="false" outlineLevel="0" collapsed="false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</row>
    <row r="763" customFormat="false" ht="15.75" hidden="false" customHeight="false" outlineLevel="0" collapsed="false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</row>
    <row r="764" customFormat="false" ht="15.75" hidden="false" customHeight="false" outlineLevel="0" collapsed="false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</row>
    <row r="765" customFormat="false" ht="15.75" hidden="false" customHeight="false" outlineLevel="0" collapsed="false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</row>
    <row r="766" customFormat="false" ht="15.75" hidden="false" customHeight="false" outlineLevel="0" collapsed="false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</row>
    <row r="767" customFormat="false" ht="15.75" hidden="false" customHeight="false" outlineLevel="0" collapsed="false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</row>
    <row r="768" customFormat="false" ht="15.75" hidden="false" customHeight="false" outlineLevel="0" collapsed="false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</row>
    <row r="769" customFormat="false" ht="15.75" hidden="false" customHeight="false" outlineLevel="0" collapsed="false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</row>
    <row r="770" customFormat="false" ht="15.75" hidden="false" customHeight="false" outlineLevel="0" collapsed="false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</row>
    <row r="771" customFormat="false" ht="15.75" hidden="false" customHeight="false" outlineLevel="0" collapsed="false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</row>
    <row r="772" customFormat="false" ht="15.75" hidden="false" customHeight="false" outlineLevel="0" collapsed="false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</row>
    <row r="773" customFormat="false" ht="15.75" hidden="false" customHeight="false" outlineLevel="0" collapsed="false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</row>
    <row r="774" customFormat="false" ht="15.75" hidden="false" customHeight="false" outlineLevel="0" collapsed="false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</row>
    <row r="775" customFormat="false" ht="15.75" hidden="false" customHeight="false" outlineLevel="0" collapsed="false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</row>
    <row r="776" customFormat="false" ht="15.75" hidden="false" customHeight="false" outlineLevel="0" collapsed="false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</row>
    <row r="777" customFormat="false" ht="15.75" hidden="false" customHeight="false" outlineLevel="0" collapsed="false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</row>
    <row r="778" customFormat="false" ht="15.75" hidden="false" customHeight="false" outlineLevel="0" collapsed="false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</row>
    <row r="779" customFormat="false" ht="15.75" hidden="false" customHeight="false" outlineLevel="0" collapsed="false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</row>
    <row r="780" customFormat="false" ht="15.75" hidden="false" customHeight="false" outlineLevel="0" collapsed="false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</row>
    <row r="781" customFormat="false" ht="15.75" hidden="false" customHeight="false" outlineLevel="0" collapsed="false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</row>
    <row r="782" customFormat="false" ht="15.75" hidden="false" customHeight="false" outlineLevel="0" collapsed="false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</row>
    <row r="783" customFormat="false" ht="15.75" hidden="false" customHeight="false" outlineLevel="0" collapsed="false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</row>
    <row r="784" customFormat="false" ht="15.75" hidden="false" customHeight="false" outlineLevel="0" collapsed="false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</row>
    <row r="785" customFormat="false" ht="15.75" hidden="false" customHeight="false" outlineLevel="0" collapsed="false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</row>
    <row r="786" customFormat="false" ht="15.75" hidden="false" customHeight="false" outlineLevel="0" collapsed="false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</row>
    <row r="787" customFormat="false" ht="15.75" hidden="false" customHeight="false" outlineLevel="0" collapsed="false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</row>
    <row r="788" customFormat="false" ht="15.75" hidden="false" customHeight="false" outlineLevel="0" collapsed="false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</row>
    <row r="789" customFormat="false" ht="15.75" hidden="false" customHeight="false" outlineLevel="0" collapsed="false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</row>
    <row r="790" customFormat="false" ht="15.75" hidden="false" customHeight="false" outlineLevel="0" collapsed="false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</row>
    <row r="791" customFormat="false" ht="15.75" hidden="false" customHeight="false" outlineLevel="0" collapsed="false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</row>
    <row r="792" customFormat="false" ht="15.75" hidden="false" customHeight="false" outlineLevel="0" collapsed="false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</row>
    <row r="793" customFormat="false" ht="15.75" hidden="false" customHeight="false" outlineLevel="0" collapsed="false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</row>
    <row r="794" customFormat="false" ht="15.75" hidden="false" customHeight="false" outlineLevel="0" collapsed="false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</row>
    <row r="795" customFormat="false" ht="15.75" hidden="false" customHeight="false" outlineLevel="0" collapsed="false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</row>
    <row r="796" customFormat="false" ht="15.75" hidden="false" customHeight="false" outlineLevel="0" collapsed="false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</row>
    <row r="797" customFormat="false" ht="15.75" hidden="false" customHeight="false" outlineLevel="0" collapsed="false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</row>
    <row r="798" customFormat="false" ht="15.75" hidden="false" customHeight="false" outlineLevel="0" collapsed="false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</row>
    <row r="799" customFormat="false" ht="15.75" hidden="false" customHeight="false" outlineLevel="0" collapsed="false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</row>
    <row r="800" customFormat="false" ht="15.75" hidden="false" customHeight="false" outlineLevel="0" collapsed="false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</row>
    <row r="801" customFormat="false" ht="15.75" hidden="false" customHeight="false" outlineLevel="0" collapsed="false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</row>
    <row r="802" customFormat="false" ht="15.75" hidden="false" customHeight="false" outlineLevel="0" collapsed="false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</row>
    <row r="803" customFormat="false" ht="15.75" hidden="false" customHeight="false" outlineLevel="0" collapsed="false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</row>
    <row r="804" customFormat="false" ht="15.75" hidden="false" customHeight="false" outlineLevel="0" collapsed="false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</row>
    <row r="805" customFormat="false" ht="15.75" hidden="false" customHeight="false" outlineLevel="0" collapsed="false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</row>
    <row r="806" customFormat="false" ht="15.75" hidden="false" customHeight="false" outlineLevel="0" collapsed="false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</row>
    <row r="807" customFormat="false" ht="15.75" hidden="false" customHeight="false" outlineLevel="0" collapsed="false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</row>
    <row r="808" customFormat="false" ht="15.75" hidden="false" customHeight="false" outlineLevel="0" collapsed="false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</row>
    <row r="809" customFormat="false" ht="15.75" hidden="false" customHeight="false" outlineLevel="0" collapsed="false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</row>
    <row r="810" customFormat="false" ht="15.75" hidden="false" customHeight="false" outlineLevel="0" collapsed="false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</row>
    <row r="811" customFormat="false" ht="15.75" hidden="false" customHeight="false" outlineLevel="0" collapsed="false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</row>
    <row r="812" customFormat="false" ht="15.75" hidden="false" customHeight="false" outlineLevel="0" collapsed="false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</row>
    <row r="813" customFormat="false" ht="15.75" hidden="false" customHeight="false" outlineLevel="0" collapsed="false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</row>
    <row r="814" customFormat="false" ht="15.75" hidden="false" customHeight="false" outlineLevel="0" collapsed="false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</row>
    <row r="815" customFormat="false" ht="15.75" hidden="false" customHeight="false" outlineLevel="0" collapsed="false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</row>
    <row r="816" customFormat="false" ht="15.75" hidden="false" customHeight="false" outlineLevel="0" collapsed="false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</row>
    <row r="817" customFormat="false" ht="15.75" hidden="false" customHeight="false" outlineLevel="0" collapsed="false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</row>
    <row r="818" customFormat="false" ht="15.75" hidden="false" customHeight="false" outlineLevel="0" collapsed="false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</row>
    <row r="819" customFormat="false" ht="15.75" hidden="false" customHeight="false" outlineLevel="0" collapsed="false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</row>
    <row r="820" customFormat="false" ht="15.75" hidden="false" customHeight="false" outlineLevel="0" collapsed="false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</row>
    <row r="821" customFormat="false" ht="15.75" hidden="false" customHeight="false" outlineLevel="0" collapsed="false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</row>
    <row r="822" customFormat="false" ht="15.75" hidden="false" customHeight="false" outlineLevel="0" collapsed="false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</row>
    <row r="823" customFormat="false" ht="15.75" hidden="false" customHeight="false" outlineLevel="0" collapsed="false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</row>
    <row r="824" customFormat="false" ht="15.75" hidden="false" customHeight="false" outlineLevel="0" collapsed="false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</row>
    <row r="825" customFormat="false" ht="15.75" hidden="false" customHeight="false" outlineLevel="0" collapsed="false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</row>
    <row r="826" customFormat="false" ht="15.75" hidden="false" customHeight="false" outlineLevel="0" collapsed="false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</row>
    <row r="827" customFormat="false" ht="15.75" hidden="false" customHeight="false" outlineLevel="0" collapsed="false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</row>
    <row r="828" customFormat="false" ht="15.75" hidden="false" customHeight="false" outlineLevel="0" collapsed="false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</row>
    <row r="829" customFormat="false" ht="15.75" hidden="false" customHeight="false" outlineLevel="0" collapsed="false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</row>
    <row r="830" customFormat="false" ht="15.75" hidden="false" customHeight="false" outlineLevel="0" collapsed="false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</row>
    <row r="831" customFormat="false" ht="15.75" hidden="false" customHeight="false" outlineLevel="0" collapsed="false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</row>
    <row r="832" customFormat="false" ht="15.75" hidden="false" customHeight="false" outlineLevel="0" collapsed="false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</row>
    <row r="833" customFormat="false" ht="15.75" hidden="false" customHeight="false" outlineLevel="0" collapsed="false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</row>
    <row r="834" customFormat="false" ht="15.75" hidden="false" customHeight="false" outlineLevel="0" collapsed="false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</row>
    <row r="835" customFormat="false" ht="15.75" hidden="false" customHeight="false" outlineLevel="0" collapsed="false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</row>
    <row r="836" customFormat="false" ht="15.75" hidden="false" customHeight="false" outlineLevel="0" collapsed="false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</row>
    <row r="837" customFormat="false" ht="15.75" hidden="false" customHeight="false" outlineLevel="0" collapsed="false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</row>
    <row r="838" customFormat="false" ht="15.75" hidden="false" customHeight="false" outlineLevel="0" collapsed="false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</row>
    <row r="839" customFormat="false" ht="15.75" hidden="false" customHeight="false" outlineLevel="0" collapsed="false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</row>
    <row r="840" customFormat="false" ht="15.75" hidden="false" customHeight="false" outlineLevel="0" collapsed="false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</row>
    <row r="841" customFormat="false" ht="15.75" hidden="false" customHeight="false" outlineLevel="0" collapsed="false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</row>
    <row r="842" customFormat="false" ht="15.75" hidden="false" customHeight="false" outlineLevel="0" collapsed="false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</row>
    <row r="843" customFormat="false" ht="15.75" hidden="false" customHeight="false" outlineLevel="0" collapsed="false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</row>
    <row r="844" customFormat="false" ht="15.75" hidden="false" customHeight="false" outlineLevel="0" collapsed="false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</row>
    <row r="845" customFormat="false" ht="15.75" hidden="false" customHeight="false" outlineLevel="0" collapsed="false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</row>
    <row r="846" customFormat="false" ht="15.75" hidden="false" customHeight="false" outlineLevel="0" collapsed="false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</row>
    <row r="847" customFormat="false" ht="15.75" hidden="false" customHeight="false" outlineLevel="0" collapsed="false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</row>
    <row r="848" customFormat="false" ht="15.75" hidden="false" customHeight="false" outlineLevel="0" collapsed="false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</row>
    <row r="849" customFormat="false" ht="15.75" hidden="false" customHeight="false" outlineLevel="0" collapsed="false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</row>
    <row r="850" customFormat="false" ht="15.75" hidden="false" customHeight="false" outlineLevel="0" collapsed="false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</row>
    <row r="851" customFormat="false" ht="15.75" hidden="false" customHeight="false" outlineLevel="0" collapsed="false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</row>
    <row r="852" customFormat="false" ht="15.75" hidden="false" customHeight="false" outlineLevel="0" collapsed="false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</row>
    <row r="853" customFormat="false" ht="15.75" hidden="false" customHeight="false" outlineLevel="0" collapsed="false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</row>
    <row r="854" customFormat="false" ht="15.75" hidden="false" customHeight="false" outlineLevel="0" collapsed="false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</row>
    <row r="855" customFormat="false" ht="15.75" hidden="false" customHeight="false" outlineLevel="0" collapsed="false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</row>
    <row r="856" customFormat="false" ht="15.75" hidden="false" customHeight="false" outlineLevel="0" collapsed="false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</row>
    <row r="857" customFormat="false" ht="15.75" hidden="false" customHeight="false" outlineLevel="0" collapsed="false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</row>
    <row r="858" customFormat="false" ht="15.75" hidden="false" customHeight="false" outlineLevel="0" collapsed="false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</row>
    <row r="859" customFormat="false" ht="15.75" hidden="false" customHeight="false" outlineLevel="0" collapsed="false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</row>
    <row r="860" customFormat="false" ht="15.75" hidden="false" customHeight="false" outlineLevel="0" collapsed="false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</row>
    <row r="861" customFormat="false" ht="15.75" hidden="false" customHeight="false" outlineLevel="0" collapsed="false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</row>
    <row r="862" customFormat="false" ht="15.75" hidden="false" customHeight="false" outlineLevel="0" collapsed="false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</row>
    <row r="863" customFormat="false" ht="15.75" hidden="false" customHeight="false" outlineLevel="0" collapsed="false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</row>
    <row r="864" customFormat="false" ht="15.75" hidden="false" customHeight="false" outlineLevel="0" collapsed="false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</row>
    <row r="865" customFormat="false" ht="15.75" hidden="false" customHeight="false" outlineLevel="0" collapsed="false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</row>
    <row r="866" customFormat="false" ht="15.75" hidden="false" customHeight="false" outlineLevel="0" collapsed="false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</row>
    <row r="867" customFormat="false" ht="15.75" hidden="false" customHeight="false" outlineLevel="0" collapsed="false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</row>
    <row r="868" customFormat="false" ht="15.75" hidden="false" customHeight="false" outlineLevel="0" collapsed="false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</row>
    <row r="869" customFormat="false" ht="15.75" hidden="false" customHeight="false" outlineLevel="0" collapsed="false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</row>
    <row r="870" customFormat="false" ht="15.75" hidden="false" customHeight="false" outlineLevel="0" collapsed="false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</row>
    <row r="871" customFormat="false" ht="15.75" hidden="false" customHeight="false" outlineLevel="0" collapsed="false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</row>
    <row r="872" customFormat="false" ht="15.75" hidden="false" customHeight="false" outlineLevel="0" collapsed="false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</row>
    <row r="873" customFormat="false" ht="15.75" hidden="false" customHeight="false" outlineLevel="0" collapsed="false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</row>
    <row r="874" customFormat="false" ht="15.75" hidden="false" customHeight="false" outlineLevel="0" collapsed="false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</row>
    <row r="875" customFormat="false" ht="15.75" hidden="false" customHeight="false" outlineLevel="0" collapsed="false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</row>
    <row r="876" customFormat="false" ht="15.75" hidden="false" customHeight="false" outlineLevel="0" collapsed="false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</row>
    <row r="877" customFormat="false" ht="15.75" hidden="false" customHeight="false" outlineLevel="0" collapsed="false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</row>
    <row r="878" customFormat="false" ht="15.75" hidden="false" customHeight="false" outlineLevel="0" collapsed="false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</row>
    <row r="879" customFormat="false" ht="15.75" hidden="false" customHeight="false" outlineLevel="0" collapsed="false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</row>
    <row r="880" customFormat="false" ht="15.75" hidden="false" customHeight="false" outlineLevel="0" collapsed="false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</row>
    <row r="881" customFormat="false" ht="15.75" hidden="false" customHeight="false" outlineLevel="0" collapsed="false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</row>
    <row r="882" customFormat="false" ht="15.75" hidden="false" customHeight="false" outlineLevel="0" collapsed="false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</row>
    <row r="883" customFormat="false" ht="15.75" hidden="false" customHeight="false" outlineLevel="0" collapsed="false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</row>
    <row r="884" customFormat="false" ht="15.75" hidden="false" customHeight="false" outlineLevel="0" collapsed="false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</row>
    <row r="885" customFormat="false" ht="15.75" hidden="false" customHeight="false" outlineLevel="0" collapsed="false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</row>
    <row r="886" customFormat="false" ht="15.75" hidden="false" customHeight="false" outlineLevel="0" collapsed="false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</row>
    <row r="887" customFormat="false" ht="15.75" hidden="false" customHeight="false" outlineLevel="0" collapsed="false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</row>
    <row r="888" customFormat="false" ht="15.75" hidden="false" customHeight="false" outlineLevel="0" collapsed="false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</row>
    <row r="889" customFormat="false" ht="15.75" hidden="false" customHeight="false" outlineLevel="0" collapsed="false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</row>
    <row r="890" customFormat="false" ht="15.75" hidden="false" customHeight="false" outlineLevel="0" collapsed="false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</row>
    <row r="891" customFormat="false" ht="15.75" hidden="false" customHeight="false" outlineLevel="0" collapsed="false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</row>
    <row r="892" customFormat="false" ht="15.75" hidden="false" customHeight="false" outlineLevel="0" collapsed="false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</row>
    <row r="893" customFormat="false" ht="15.75" hidden="false" customHeight="false" outlineLevel="0" collapsed="false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</row>
    <row r="894" customFormat="false" ht="15.75" hidden="false" customHeight="false" outlineLevel="0" collapsed="false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</row>
    <row r="895" customFormat="false" ht="15.75" hidden="false" customHeight="false" outlineLevel="0" collapsed="false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</row>
    <row r="896" customFormat="false" ht="15.75" hidden="false" customHeight="false" outlineLevel="0" collapsed="false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</row>
    <row r="897" customFormat="false" ht="15.75" hidden="false" customHeight="false" outlineLevel="0" collapsed="false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</row>
    <row r="898" customFormat="false" ht="15.75" hidden="false" customHeight="false" outlineLevel="0" collapsed="false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</row>
    <row r="899" customFormat="false" ht="15.75" hidden="false" customHeight="false" outlineLevel="0" collapsed="false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</row>
    <row r="900" customFormat="false" ht="15.75" hidden="false" customHeight="false" outlineLevel="0" collapsed="false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</row>
    <row r="901" customFormat="false" ht="15.75" hidden="false" customHeight="false" outlineLevel="0" collapsed="false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</row>
    <row r="902" customFormat="false" ht="15.75" hidden="false" customHeight="false" outlineLevel="0" collapsed="false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</row>
    <row r="903" customFormat="false" ht="15.75" hidden="false" customHeight="false" outlineLevel="0" collapsed="false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</row>
    <row r="904" customFormat="false" ht="15.75" hidden="false" customHeight="false" outlineLevel="0" collapsed="false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</row>
    <row r="905" customFormat="false" ht="15.75" hidden="false" customHeight="false" outlineLevel="0" collapsed="false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</row>
    <row r="906" customFormat="false" ht="15.75" hidden="false" customHeight="false" outlineLevel="0" collapsed="false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</row>
    <row r="907" customFormat="false" ht="15.75" hidden="false" customHeight="false" outlineLevel="0" collapsed="false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</row>
    <row r="908" customFormat="false" ht="15.75" hidden="false" customHeight="false" outlineLevel="0" collapsed="false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</row>
    <row r="909" customFormat="false" ht="15.75" hidden="false" customHeight="false" outlineLevel="0" collapsed="false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</row>
    <row r="910" customFormat="false" ht="15.75" hidden="false" customHeight="false" outlineLevel="0" collapsed="false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</row>
    <row r="911" customFormat="false" ht="15.75" hidden="false" customHeight="false" outlineLevel="0" collapsed="false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</row>
    <row r="912" customFormat="false" ht="15.75" hidden="false" customHeight="false" outlineLevel="0" collapsed="false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</row>
    <row r="913" customFormat="false" ht="15.75" hidden="false" customHeight="false" outlineLevel="0" collapsed="false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</row>
    <row r="914" customFormat="false" ht="15.75" hidden="false" customHeight="false" outlineLevel="0" collapsed="false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</row>
    <row r="915" customFormat="false" ht="15.75" hidden="false" customHeight="false" outlineLevel="0" collapsed="false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</row>
    <row r="916" customFormat="false" ht="15.75" hidden="false" customHeight="false" outlineLevel="0" collapsed="false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</row>
    <row r="917" customFormat="false" ht="15.75" hidden="false" customHeight="false" outlineLevel="0" collapsed="false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</row>
    <row r="918" customFormat="false" ht="15.75" hidden="false" customHeight="false" outlineLevel="0" collapsed="false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</row>
    <row r="919" customFormat="false" ht="15.75" hidden="false" customHeight="false" outlineLevel="0" collapsed="false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</row>
    <row r="920" customFormat="false" ht="15.75" hidden="false" customHeight="false" outlineLevel="0" collapsed="false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</row>
    <row r="921" customFormat="false" ht="15.75" hidden="false" customHeight="false" outlineLevel="0" collapsed="false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</row>
    <row r="922" customFormat="false" ht="15.75" hidden="false" customHeight="false" outlineLevel="0" collapsed="false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</row>
    <row r="923" customFormat="false" ht="15.75" hidden="false" customHeight="false" outlineLevel="0" collapsed="false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</row>
    <row r="924" customFormat="false" ht="15.75" hidden="false" customHeight="false" outlineLevel="0" collapsed="false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</row>
    <row r="925" customFormat="false" ht="15.75" hidden="false" customHeight="false" outlineLevel="0" collapsed="false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</row>
    <row r="926" customFormat="false" ht="15.75" hidden="false" customHeight="false" outlineLevel="0" collapsed="false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</row>
    <row r="927" customFormat="false" ht="15.75" hidden="false" customHeight="false" outlineLevel="0" collapsed="false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</row>
    <row r="928" customFormat="false" ht="15.75" hidden="false" customHeight="false" outlineLevel="0" collapsed="false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</row>
    <row r="929" customFormat="false" ht="15.75" hidden="false" customHeight="false" outlineLevel="0" collapsed="false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</row>
    <row r="930" customFormat="false" ht="15.75" hidden="false" customHeight="false" outlineLevel="0" collapsed="false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</row>
    <row r="931" customFormat="false" ht="15.75" hidden="false" customHeight="false" outlineLevel="0" collapsed="false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</row>
    <row r="932" customFormat="false" ht="15.75" hidden="false" customHeight="false" outlineLevel="0" collapsed="false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</row>
    <row r="933" customFormat="false" ht="15.75" hidden="false" customHeight="false" outlineLevel="0" collapsed="false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</row>
    <row r="934" customFormat="false" ht="15.75" hidden="false" customHeight="false" outlineLevel="0" collapsed="false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</row>
    <row r="935" customFormat="false" ht="15.75" hidden="false" customHeight="false" outlineLevel="0" collapsed="false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</row>
    <row r="936" customFormat="false" ht="15.75" hidden="false" customHeight="false" outlineLevel="0" collapsed="false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</row>
    <row r="937" customFormat="false" ht="15.75" hidden="false" customHeight="false" outlineLevel="0" collapsed="false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</row>
    <row r="938" customFormat="false" ht="15.75" hidden="false" customHeight="false" outlineLevel="0" collapsed="false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</row>
    <row r="939" customFormat="false" ht="15.75" hidden="false" customHeight="false" outlineLevel="0" collapsed="false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</row>
    <row r="940" customFormat="false" ht="15.75" hidden="false" customHeight="false" outlineLevel="0" collapsed="false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</row>
    <row r="941" customFormat="false" ht="15.75" hidden="false" customHeight="false" outlineLevel="0" collapsed="false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</row>
    <row r="942" customFormat="false" ht="15.75" hidden="false" customHeight="false" outlineLevel="0" collapsed="false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</row>
    <row r="943" customFormat="false" ht="15.75" hidden="false" customHeight="false" outlineLevel="0" collapsed="false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</row>
    <row r="944" customFormat="false" ht="15.75" hidden="false" customHeight="false" outlineLevel="0" collapsed="false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</row>
    <row r="945" customFormat="false" ht="15.75" hidden="false" customHeight="false" outlineLevel="0" collapsed="false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</row>
    <row r="946" customFormat="false" ht="15.75" hidden="false" customHeight="false" outlineLevel="0" collapsed="false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</row>
    <row r="947" customFormat="false" ht="15.75" hidden="false" customHeight="false" outlineLevel="0" collapsed="false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</row>
    <row r="948" customFormat="false" ht="15.75" hidden="false" customHeight="false" outlineLevel="0" collapsed="false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</row>
    <row r="949" customFormat="false" ht="15.75" hidden="false" customHeight="false" outlineLevel="0" collapsed="false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</row>
    <row r="950" customFormat="false" ht="15.75" hidden="false" customHeight="false" outlineLevel="0" collapsed="false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</row>
    <row r="951" customFormat="false" ht="15.75" hidden="false" customHeight="false" outlineLevel="0" collapsed="false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</row>
    <row r="952" customFormat="false" ht="15.75" hidden="false" customHeight="false" outlineLevel="0" collapsed="false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</row>
    <row r="953" customFormat="false" ht="15.75" hidden="false" customHeight="false" outlineLevel="0" collapsed="false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</row>
    <row r="954" customFormat="false" ht="15.75" hidden="false" customHeight="false" outlineLevel="0" collapsed="false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</row>
    <row r="955" customFormat="false" ht="15.75" hidden="false" customHeight="false" outlineLevel="0" collapsed="false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</row>
    <row r="956" customFormat="false" ht="15.75" hidden="false" customHeight="false" outlineLevel="0" collapsed="false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</row>
    <row r="957" customFormat="false" ht="15.75" hidden="false" customHeight="false" outlineLevel="0" collapsed="false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</row>
    <row r="958" customFormat="false" ht="15.75" hidden="false" customHeight="false" outlineLevel="0" collapsed="false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</row>
    <row r="959" customFormat="false" ht="15.75" hidden="false" customHeight="false" outlineLevel="0" collapsed="false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</row>
    <row r="960" customFormat="false" ht="15.75" hidden="false" customHeight="false" outlineLevel="0" collapsed="false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</row>
    <row r="961" customFormat="false" ht="15.75" hidden="false" customHeight="false" outlineLevel="0" collapsed="false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</row>
    <row r="962" customFormat="false" ht="15.75" hidden="false" customHeight="false" outlineLevel="0" collapsed="false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</row>
    <row r="963" customFormat="false" ht="15.75" hidden="false" customHeight="false" outlineLevel="0" collapsed="false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</row>
    <row r="964" customFormat="false" ht="15.75" hidden="false" customHeight="false" outlineLevel="0" collapsed="false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</row>
    <row r="965" customFormat="false" ht="15.75" hidden="false" customHeight="false" outlineLevel="0" collapsed="false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</row>
    <row r="966" customFormat="false" ht="15.75" hidden="false" customHeight="false" outlineLevel="0" collapsed="false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</row>
    <row r="967" customFormat="false" ht="15.75" hidden="false" customHeight="false" outlineLevel="0" collapsed="false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</row>
    <row r="968" customFormat="false" ht="15.75" hidden="false" customHeight="false" outlineLevel="0" collapsed="false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</row>
    <row r="969" customFormat="false" ht="15.75" hidden="false" customHeight="false" outlineLevel="0" collapsed="false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</row>
    <row r="970" customFormat="false" ht="15.75" hidden="false" customHeight="false" outlineLevel="0" collapsed="false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</row>
    <row r="971" customFormat="false" ht="15.75" hidden="false" customHeight="false" outlineLevel="0" collapsed="false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</row>
    <row r="972" customFormat="false" ht="15.75" hidden="false" customHeight="false" outlineLevel="0" collapsed="false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</row>
    <row r="973" customFormat="false" ht="15.75" hidden="false" customHeight="false" outlineLevel="0" collapsed="false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</row>
    <row r="974" customFormat="false" ht="15.75" hidden="false" customHeight="false" outlineLevel="0" collapsed="false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</row>
    <row r="975" customFormat="false" ht="15.75" hidden="false" customHeight="false" outlineLevel="0" collapsed="false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</row>
    <row r="976" customFormat="false" ht="15.75" hidden="false" customHeight="false" outlineLevel="0" collapsed="false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</row>
    <row r="977" customFormat="false" ht="15.75" hidden="false" customHeight="false" outlineLevel="0" collapsed="false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</row>
    <row r="978" customFormat="false" ht="15.75" hidden="false" customHeight="false" outlineLevel="0" collapsed="false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</row>
    <row r="979" customFormat="false" ht="15.75" hidden="false" customHeight="false" outlineLevel="0" collapsed="false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</row>
    <row r="980" customFormat="false" ht="15.75" hidden="false" customHeight="false" outlineLevel="0" collapsed="false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</row>
    <row r="981" customFormat="false" ht="15.75" hidden="false" customHeight="false" outlineLevel="0" collapsed="false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</row>
    <row r="982" customFormat="false" ht="15.75" hidden="false" customHeight="false" outlineLevel="0" collapsed="false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</row>
    <row r="983" customFormat="false" ht="15.75" hidden="false" customHeight="false" outlineLevel="0" collapsed="false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</row>
    <row r="984" customFormat="false" ht="15.75" hidden="false" customHeight="false" outlineLevel="0" collapsed="false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</row>
    <row r="985" customFormat="false" ht="15.75" hidden="false" customHeight="false" outlineLevel="0" collapsed="false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</row>
    <row r="986" customFormat="false" ht="15.75" hidden="false" customHeight="false" outlineLevel="0" collapsed="false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</row>
    <row r="987" customFormat="false" ht="15.75" hidden="false" customHeight="false" outlineLevel="0" collapsed="false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</row>
    <row r="988" customFormat="false" ht="15.75" hidden="false" customHeight="false" outlineLevel="0" collapsed="false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</row>
    <row r="989" customFormat="false" ht="15.75" hidden="false" customHeight="false" outlineLevel="0" collapsed="false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</row>
    <row r="990" customFormat="false" ht="15.75" hidden="false" customHeight="false" outlineLevel="0" collapsed="false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</row>
    <row r="991" customFormat="false" ht="15.75" hidden="false" customHeight="false" outlineLevel="0" collapsed="false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</row>
    <row r="992" customFormat="false" ht="15.75" hidden="false" customHeight="false" outlineLevel="0" collapsed="false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</row>
    <row r="993" customFormat="false" ht="15.75" hidden="false" customHeight="false" outlineLevel="0" collapsed="false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</row>
  </sheetData>
  <conditionalFormatting sqref="E3:E993 E1">
    <cfRule type="colorScale" priority="2">
      <colorScale>
        <cfvo type="min" val="0"/>
        <cfvo type="max" val="0"/>
        <color rgb="FFFFFFFF"/>
        <color rgb="FF57BB8A"/>
      </colorScale>
    </cfRule>
  </conditionalFormatting>
  <dataValidations count="2">
    <dataValidation allowBlank="true" errorStyle="stop" operator="between" showDropDown="false" showErrorMessage="true" showInputMessage="false" sqref="B1 B78:B993" type="list">
      <formula1>"backoffice,Frontoffice"</formula1>
      <formula2>0</formula2>
    </dataValidation>
    <dataValidation allowBlank="true" errorStyle="stop" operator="between" showDropDown="false" showErrorMessage="true" showInputMessage="false" sqref="F1 F78:F993" type="list">
      <formula1>"Affichage,Integration,Metier"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8"/>
      <c r="B1" s="9" t="s">
        <v>148</v>
      </c>
      <c r="C1" s="10"/>
      <c r="D1" s="11"/>
    </row>
    <row r="2" customFormat="false" ht="15.75" hidden="false" customHeight="false" outlineLevel="0" collapsed="false">
      <c r="A2" s="12" t="s">
        <v>8</v>
      </c>
      <c r="B2" s="13" t="s">
        <v>149</v>
      </c>
      <c r="C2" s="14" t="s">
        <v>150</v>
      </c>
      <c r="D2" s="15" t="s">
        <v>151</v>
      </c>
    </row>
    <row r="3" customFormat="false" ht="15.75" hidden="false" customHeight="false" outlineLevel="0" collapsed="false">
      <c r="A3" s="16" t="s">
        <v>0</v>
      </c>
      <c r="B3" s="17" t="n">
        <v>2150</v>
      </c>
      <c r="C3" s="18" t="n">
        <v>2060</v>
      </c>
      <c r="D3" s="19" t="n">
        <v>90</v>
      </c>
    </row>
    <row r="4" customFormat="false" ht="15.75" hidden="false" customHeight="false" outlineLevel="0" collapsed="false">
      <c r="A4" s="20" t="s">
        <v>152</v>
      </c>
      <c r="B4" s="21" t="n">
        <v>30</v>
      </c>
      <c r="C4" s="22" t="n">
        <v>0</v>
      </c>
      <c r="D4" s="23" t="n">
        <v>30</v>
      </c>
    </row>
    <row r="5" customFormat="false" ht="15.75" hidden="false" customHeight="true" outlineLevel="0" collapsed="false">
      <c r="A5" s="24" t="s">
        <v>153</v>
      </c>
      <c r="B5" s="25" t="n">
        <v>2180</v>
      </c>
      <c r="C5" s="26" t="n">
        <v>2060</v>
      </c>
      <c r="D5" s="27" t="n">
        <v>120</v>
      </c>
    </row>
    <row r="12" customFormat="false" ht="15.75" hidden="false" customHeight="false" outlineLevel="0" collapsed="false">
      <c r="A12" s="28" t="s">
        <v>12</v>
      </c>
      <c r="B12" s="29" t="n">
        <f aca="false">avancement!D2</f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5.75"/>
    <col collapsed="false" customWidth="true" hidden="false" outlineLevel="0" max="2" min="2" style="0" width="17.88"/>
    <col collapsed="false" customWidth="true" hidden="false" outlineLevel="0" max="3" min="3" style="0" width="17"/>
    <col collapsed="false" customWidth="true" hidden="false" outlineLevel="0" max="4" min="4" style="0" width="18.25"/>
    <col collapsed="false" customWidth="true" hidden="false" outlineLevel="0" max="5" min="5" style="0" width="13.75"/>
  </cols>
  <sheetData>
    <row r="1" customFormat="false" ht="15.75" hidden="false" customHeight="false" outlineLevel="0" collapsed="false">
      <c r="A1" s="30" t="s">
        <v>154</v>
      </c>
      <c r="B1" s="30" t="s">
        <v>155</v>
      </c>
      <c r="C1" s="30" t="s">
        <v>156</v>
      </c>
      <c r="D1" s="30" t="s">
        <v>157</v>
      </c>
      <c r="E1" s="30" t="s">
        <v>158</v>
      </c>
    </row>
    <row r="2" customFormat="false" ht="15.75" hidden="false" customHeight="false" outlineLevel="0" collapsed="false">
      <c r="A2" s="31" t="n">
        <f aca="false">SUM('liste des taches'!H:H)</f>
        <v>4380</v>
      </c>
      <c r="B2" s="31" t="n">
        <f aca="false">SUM('liste des taches'!I:I)</f>
        <v>4380</v>
      </c>
      <c r="C2" s="31" t="n">
        <f aca="false">SUM('liste des taches'!J:J)</f>
        <v>0</v>
      </c>
      <c r="D2" s="32" t="n">
        <f aca="false">(B2/(B2+C2))</f>
        <v>1</v>
      </c>
      <c r="E2" s="33" t="n">
        <f aca="false">((B2+C2)-A2)/A2</f>
        <v>0</v>
      </c>
    </row>
    <row r="3" customFormat="false" ht="15.75" hidden="false" customHeight="false" outlineLevel="0" collapsed="false">
      <c r="A3" s="34"/>
      <c r="B3" s="34"/>
      <c r="C3" s="31" t="n">
        <f aca="false">C2/60</f>
        <v>0</v>
      </c>
      <c r="D3" s="34" t="s">
        <v>159</v>
      </c>
      <c r="E3" s="3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4"/>
  <sheetViews>
    <sheetView showFormulas="false" showGridLines="true" showRowColHeaders="true" showZeros="true" rightToLeft="false" tabSelected="true" showOutlineSymbols="true" defaultGridColor="true" view="normal" topLeftCell="A31" colorId="64" zoomScale="100" zoomScaleNormal="100" zoomScalePageLayoutView="100" workbookViewId="0">
      <selection pane="topLeft" activeCell="B75" activeCellId="0" sqref="B75"/>
    </sheetView>
  </sheetViews>
  <sheetFormatPr defaultColWidth="12.6328125" defaultRowHeight="15.75" zeroHeight="false" outlineLevelRow="0" outlineLevelCol="0"/>
  <cols>
    <col collapsed="false" customWidth="true" hidden="false" outlineLevel="0" max="16384" min="16384" style="0" width="11.53"/>
  </cols>
  <sheetData>
    <row r="1" customFormat="false" ht="15.75" hidden="false" customHeight="false" outlineLevel="0" collapsed="false">
      <c r="A1" s="35" t="s">
        <v>2</v>
      </c>
      <c r="B1" s="36" t="s">
        <v>160</v>
      </c>
      <c r="C1" s="37" t="n">
        <v>46178</v>
      </c>
      <c r="D1" s="37" t="n">
        <v>46179</v>
      </c>
      <c r="E1" s="37" t="n">
        <v>46180</v>
      </c>
      <c r="F1" s="37" t="n">
        <v>46181</v>
      </c>
      <c r="G1" s="37" t="n">
        <v>46182</v>
      </c>
      <c r="H1" s="37" t="n">
        <v>46183</v>
      </c>
      <c r="I1" s="37" t="n">
        <v>46184</v>
      </c>
      <c r="J1" s="38"/>
    </row>
    <row r="2" customFormat="false" ht="15.75" hidden="false" customHeight="false" outlineLevel="0" collapsed="false">
      <c r="A2" s="39" t="n">
        <v>1</v>
      </c>
      <c r="B2" s="31" t="n">
        <f aca="false">SUM(C2:O2)</f>
        <v>60</v>
      </c>
      <c r="C2" s="0" t="n">
        <v>60</v>
      </c>
    </row>
    <row r="3" customFormat="false" ht="15.75" hidden="false" customHeight="false" outlineLevel="0" collapsed="false">
      <c r="A3" s="39" t="n">
        <v>2</v>
      </c>
      <c r="B3" s="31" t="n">
        <f aca="false">SUM(C3:O3)</f>
        <v>60</v>
      </c>
      <c r="C3" s="0" t="n">
        <v>60</v>
      </c>
    </row>
    <row r="4" customFormat="false" ht="15.75" hidden="false" customHeight="false" outlineLevel="0" collapsed="false">
      <c r="A4" s="39" t="n">
        <v>3</v>
      </c>
      <c r="B4" s="31" t="n">
        <f aca="false">SUM(C4:O4)</f>
        <v>60</v>
      </c>
      <c r="C4" s="0" t="n">
        <v>60</v>
      </c>
    </row>
    <row r="5" customFormat="false" ht="15.75" hidden="false" customHeight="false" outlineLevel="0" collapsed="false">
      <c r="A5" s="39" t="n">
        <v>4</v>
      </c>
      <c r="B5" s="31" t="n">
        <f aca="false">SUM(C5:O5)</f>
        <v>60</v>
      </c>
      <c r="C5" s="0" t="n">
        <v>60</v>
      </c>
    </row>
    <row r="6" customFormat="false" ht="15.75" hidden="false" customHeight="false" outlineLevel="0" collapsed="false">
      <c r="A6" s="39" t="n">
        <v>5</v>
      </c>
      <c r="B6" s="31" t="n">
        <f aca="false">SUM(C6:O6)</f>
        <v>60</v>
      </c>
      <c r="C6" s="0" t="n">
        <v>60</v>
      </c>
    </row>
    <row r="7" customFormat="false" ht="15.75" hidden="false" customHeight="false" outlineLevel="0" collapsed="false">
      <c r="A7" s="39" t="n">
        <v>6</v>
      </c>
      <c r="B7" s="31" t="n">
        <f aca="false">SUM(C7:O7)</f>
        <v>60</v>
      </c>
      <c r="C7" s="0" t="n">
        <v>60</v>
      </c>
    </row>
    <row r="8" customFormat="false" ht="15.75" hidden="false" customHeight="false" outlineLevel="0" collapsed="false">
      <c r="A8" s="39" t="n">
        <v>7</v>
      </c>
      <c r="B8" s="31" t="n">
        <f aca="false">SUM(C8:O8)</f>
        <v>60</v>
      </c>
      <c r="C8" s="0" t="n">
        <v>60</v>
      </c>
    </row>
    <row r="9" customFormat="false" ht="15.75" hidden="false" customHeight="false" outlineLevel="0" collapsed="false">
      <c r="A9" s="1" t="n">
        <v>8</v>
      </c>
      <c r="B9" s="31" t="n">
        <f aca="false">SUM(C9:O9)</f>
        <v>60</v>
      </c>
      <c r="C9" s="0" t="n">
        <v>60</v>
      </c>
    </row>
    <row r="10" customFormat="false" ht="15.75" hidden="false" customHeight="false" outlineLevel="0" collapsed="false">
      <c r="A10" s="1" t="n">
        <v>9</v>
      </c>
      <c r="B10" s="31" t="n">
        <f aca="false">SUM(C10:O10)</f>
        <v>60</v>
      </c>
      <c r="C10" s="0" t="n">
        <v>60</v>
      </c>
    </row>
    <row r="11" customFormat="false" ht="15.75" hidden="false" customHeight="false" outlineLevel="0" collapsed="false">
      <c r="A11" s="39" t="n">
        <v>10</v>
      </c>
      <c r="B11" s="31" t="n">
        <f aca="false">SUM(C11:O11)</f>
        <v>60</v>
      </c>
      <c r="C11" s="0" t="n">
        <v>60</v>
      </c>
    </row>
    <row r="12" customFormat="false" ht="15.75" hidden="false" customHeight="false" outlineLevel="0" collapsed="false">
      <c r="A12" s="39" t="n">
        <v>11</v>
      </c>
      <c r="B12" s="31" t="n">
        <f aca="false">SUM(C12:O12)</f>
        <v>60</v>
      </c>
      <c r="C12" s="0" t="n">
        <v>60</v>
      </c>
    </row>
    <row r="13" customFormat="false" ht="15.75" hidden="false" customHeight="false" outlineLevel="0" collapsed="false">
      <c r="A13" s="39" t="n">
        <v>12</v>
      </c>
      <c r="B13" s="31" t="n">
        <f aca="false">SUM(C13:O13)</f>
        <v>60</v>
      </c>
      <c r="C13" s="0" t="n">
        <v>60</v>
      </c>
    </row>
    <row r="14" customFormat="false" ht="15.75" hidden="false" customHeight="false" outlineLevel="0" collapsed="false">
      <c r="A14" s="39" t="n">
        <v>13</v>
      </c>
      <c r="B14" s="31" t="n">
        <f aca="false">SUM(C14:O14)</f>
        <v>60</v>
      </c>
      <c r="C14" s="0" t="n">
        <v>60</v>
      </c>
    </row>
    <row r="15" customFormat="false" ht="15.75" hidden="false" customHeight="false" outlineLevel="0" collapsed="false">
      <c r="A15" s="39" t="n">
        <v>14</v>
      </c>
      <c r="B15" s="31" t="n">
        <f aca="false">SUM(C15:O15)</f>
        <v>60</v>
      </c>
      <c r="C15" s="0" t="n">
        <v>60</v>
      </c>
    </row>
    <row r="16" customFormat="false" ht="15.75" hidden="false" customHeight="false" outlineLevel="0" collapsed="false">
      <c r="A16" s="39" t="n">
        <v>15</v>
      </c>
      <c r="B16" s="31" t="n">
        <f aca="false">SUM(C16:O16)</f>
        <v>60</v>
      </c>
      <c r="C16" s="0" t="n">
        <v>60</v>
      </c>
    </row>
    <row r="17" customFormat="false" ht="15.75" hidden="false" customHeight="false" outlineLevel="0" collapsed="false">
      <c r="A17" s="39" t="n">
        <v>16</v>
      </c>
      <c r="B17" s="31" t="n">
        <f aca="false">SUM(C17:O17)</f>
        <v>60</v>
      </c>
      <c r="C17" s="0" t="n">
        <v>60</v>
      </c>
    </row>
    <row r="18" customFormat="false" ht="15.75" hidden="false" customHeight="false" outlineLevel="0" collapsed="false">
      <c r="A18" s="1" t="n">
        <v>17</v>
      </c>
      <c r="B18" s="31" t="n">
        <f aca="false">SUM(C18:O18)</f>
        <v>60</v>
      </c>
      <c r="C18" s="0" t="n">
        <v>60</v>
      </c>
    </row>
    <row r="19" customFormat="false" ht="15.75" hidden="false" customHeight="false" outlineLevel="0" collapsed="false">
      <c r="A19" s="1" t="n">
        <v>18</v>
      </c>
      <c r="B19" s="31" t="n">
        <f aca="false">SUM(C19:O19)</f>
        <v>60</v>
      </c>
      <c r="C19" s="0" t="n">
        <v>60</v>
      </c>
    </row>
    <row r="20" customFormat="false" ht="15.75" hidden="false" customHeight="false" outlineLevel="0" collapsed="false">
      <c r="A20" s="39" t="n">
        <v>19</v>
      </c>
      <c r="B20" s="31" t="n">
        <f aca="false">SUM(C20:O20)</f>
        <v>60</v>
      </c>
      <c r="C20" s="0" t="n">
        <v>60</v>
      </c>
    </row>
    <row r="21" customFormat="false" ht="15.75" hidden="false" customHeight="false" outlineLevel="0" collapsed="false">
      <c r="A21" s="39" t="n">
        <v>20</v>
      </c>
      <c r="B21" s="31" t="n">
        <f aca="false">SUM(C21:O21)</f>
        <v>60</v>
      </c>
      <c r="C21" s="0" t="n">
        <v>60</v>
      </c>
    </row>
    <row r="22" customFormat="false" ht="15.75" hidden="false" customHeight="false" outlineLevel="0" collapsed="false">
      <c r="A22" s="39" t="n">
        <v>21</v>
      </c>
      <c r="B22" s="31" t="n">
        <f aca="false">SUM(C22:O22)</f>
        <v>60</v>
      </c>
      <c r="C22" s="0" t="n">
        <v>60</v>
      </c>
    </row>
    <row r="23" customFormat="false" ht="15.75" hidden="false" customHeight="false" outlineLevel="0" collapsed="false">
      <c r="A23" s="39" t="n">
        <v>22</v>
      </c>
      <c r="B23" s="31" t="n">
        <f aca="false">SUM(C23:O23)</f>
        <v>60</v>
      </c>
      <c r="C23" s="0" t="n">
        <v>60</v>
      </c>
    </row>
    <row r="24" customFormat="false" ht="15.75" hidden="false" customHeight="false" outlineLevel="0" collapsed="false">
      <c r="A24" s="39" t="n">
        <v>23</v>
      </c>
      <c r="B24" s="31" t="n">
        <f aca="false">SUM(C24:O24)</f>
        <v>60</v>
      </c>
      <c r="D24" s="0" t="n">
        <v>60</v>
      </c>
    </row>
    <row r="25" customFormat="false" ht="15.75" hidden="false" customHeight="false" outlineLevel="0" collapsed="false">
      <c r="A25" s="39" t="n">
        <v>24</v>
      </c>
      <c r="B25" s="31" t="n">
        <f aca="false">SUM(C25:O25)</f>
        <v>60</v>
      </c>
      <c r="D25" s="0" t="n">
        <v>60</v>
      </c>
    </row>
    <row r="26" customFormat="false" ht="15.75" hidden="false" customHeight="false" outlineLevel="0" collapsed="false">
      <c r="A26" s="39" t="n">
        <v>25</v>
      </c>
      <c r="B26" s="31" t="n">
        <f aca="false">SUM(C26:O26)</f>
        <v>60</v>
      </c>
      <c r="D26" s="0" t="n">
        <v>60</v>
      </c>
    </row>
    <row r="27" customFormat="false" ht="15.75" hidden="false" customHeight="false" outlineLevel="0" collapsed="false">
      <c r="A27" s="39" t="n">
        <v>26</v>
      </c>
      <c r="B27" s="31" t="n">
        <f aca="false">SUM(C27:O27)</f>
        <v>60</v>
      </c>
      <c r="D27" s="0" t="n">
        <v>60</v>
      </c>
    </row>
    <row r="28" customFormat="false" ht="15.75" hidden="false" customHeight="false" outlineLevel="0" collapsed="false">
      <c r="A28" s="39" t="n">
        <v>27</v>
      </c>
      <c r="B28" s="31" t="n">
        <f aca="false">SUM(C28:O28)</f>
        <v>60</v>
      </c>
      <c r="D28" s="0" t="n">
        <v>60</v>
      </c>
    </row>
    <row r="29" customFormat="false" ht="15.75" hidden="false" customHeight="false" outlineLevel="0" collapsed="false">
      <c r="A29" s="39" t="n">
        <v>28</v>
      </c>
      <c r="B29" s="31" t="n">
        <f aca="false">SUM(C29:O29)</f>
        <v>60</v>
      </c>
      <c r="D29" s="0" t="n">
        <v>60</v>
      </c>
    </row>
    <row r="30" customFormat="false" ht="15.75" hidden="false" customHeight="false" outlineLevel="0" collapsed="false">
      <c r="A30" s="39" t="n">
        <v>29</v>
      </c>
      <c r="B30" s="31" t="n">
        <f aca="false">SUM(C30:O30)</f>
        <v>60</v>
      </c>
      <c r="D30" s="0" t="n">
        <v>60</v>
      </c>
    </row>
    <row r="31" customFormat="false" ht="15.75" hidden="false" customHeight="false" outlineLevel="0" collapsed="false">
      <c r="A31" s="39" t="n">
        <f aca="false">A30+1</f>
        <v>30</v>
      </c>
      <c r="B31" s="31" t="n">
        <f aca="false">SUM(C31:O31)</f>
        <v>60</v>
      </c>
      <c r="D31" s="0" t="n">
        <v>60</v>
      </c>
    </row>
    <row r="32" customFormat="false" ht="15.75" hidden="false" customHeight="false" outlineLevel="0" collapsed="false">
      <c r="A32" s="39" t="n">
        <f aca="false">A31+1</f>
        <v>31</v>
      </c>
      <c r="B32" s="31" t="n">
        <f aca="false">SUM(C32:O32)</f>
        <v>60</v>
      </c>
      <c r="D32" s="0" t="n">
        <v>60</v>
      </c>
    </row>
    <row r="33" customFormat="false" ht="15.75" hidden="false" customHeight="false" outlineLevel="0" collapsed="false">
      <c r="A33" s="39" t="n">
        <f aca="false">A32+1</f>
        <v>32</v>
      </c>
      <c r="B33" s="31" t="n">
        <f aca="false">SUM(C33:O33)</f>
        <v>60</v>
      </c>
      <c r="D33" s="0" t="n">
        <v>60</v>
      </c>
    </row>
    <row r="34" customFormat="false" ht="15.75" hidden="false" customHeight="false" outlineLevel="0" collapsed="false">
      <c r="A34" s="39" t="n">
        <f aca="false">A33+1</f>
        <v>33</v>
      </c>
      <c r="B34" s="31" t="n">
        <f aca="false">SUM(C34:O34)</f>
        <v>60</v>
      </c>
      <c r="D34" s="0" t="n">
        <v>60</v>
      </c>
    </row>
    <row r="35" customFormat="false" ht="15.75" hidden="false" customHeight="false" outlineLevel="0" collapsed="false">
      <c r="A35" s="39" t="n">
        <f aca="false">A34+1</f>
        <v>34</v>
      </c>
      <c r="B35" s="31" t="n">
        <f aca="false">SUM(C35:O35)</f>
        <v>60</v>
      </c>
      <c r="D35" s="0" t="n">
        <v>60</v>
      </c>
    </row>
    <row r="36" customFormat="false" ht="15.75" hidden="false" customHeight="false" outlineLevel="0" collapsed="false">
      <c r="A36" s="39" t="n">
        <f aca="false">A35+1</f>
        <v>35</v>
      </c>
      <c r="B36" s="31" t="n">
        <f aca="false">SUM(C36:O36)</f>
        <v>60</v>
      </c>
      <c r="D36" s="0" t="n">
        <v>60</v>
      </c>
    </row>
    <row r="37" customFormat="false" ht="15.75" hidden="false" customHeight="false" outlineLevel="0" collapsed="false">
      <c r="A37" s="39" t="n">
        <f aca="false">A36+1</f>
        <v>36</v>
      </c>
      <c r="B37" s="31" t="n">
        <f aca="false">SUM(C37:O37)</f>
        <v>60</v>
      </c>
      <c r="D37" s="0" t="n">
        <v>60</v>
      </c>
    </row>
    <row r="38" customFormat="false" ht="15.75" hidden="false" customHeight="false" outlineLevel="0" collapsed="false">
      <c r="A38" s="39" t="n">
        <f aca="false">A37+1</f>
        <v>37</v>
      </c>
      <c r="B38" s="31" t="n">
        <f aca="false">SUM(C38:O38)</f>
        <v>60</v>
      </c>
      <c r="D38" s="0" t="n">
        <v>60</v>
      </c>
    </row>
    <row r="39" customFormat="false" ht="15.75" hidden="false" customHeight="false" outlineLevel="0" collapsed="false">
      <c r="A39" s="39" t="n">
        <f aca="false">A38+1</f>
        <v>38</v>
      </c>
      <c r="B39" s="31" t="n">
        <f aca="false">SUM(C39:O39)</f>
        <v>60</v>
      </c>
      <c r="D39" s="0" t="n">
        <v>60</v>
      </c>
    </row>
    <row r="40" customFormat="false" ht="15.75" hidden="false" customHeight="false" outlineLevel="0" collapsed="false">
      <c r="A40" s="39" t="n">
        <f aca="false">A39+1</f>
        <v>39</v>
      </c>
      <c r="B40" s="31" t="n">
        <f aca="false">SUM(C40:O40)</f>
        <v>60</v>
      </c>
      <c r="D40" s="0" t="n">
        <v>60</v>
      </c>
    </row>
    <row r="41" customFormat="false" ht="15.75" hidden="false" customHeight="false" outlineLevel="0" collapsed="false">
      <c r="A41" s="39" t="n">
        <f aca="false">A40+1</f>
        <v>40</v>
      </c>
      <c r="B41" s="31" t="n">
        <f aca="false">SUM(C41:O41)</f>
        <v>60</v>
      </c>
      <c r="D41" s="0" t="n">
        <v>60</v>
      </c>
    </row>
    <row r="42" customFormat="false" ht="15.75" hidden="false" customHeight="false" outlineLevel="0" collapsed="false">
      <c r="A42" s="39" t="n">
        <f aca="false">A41+1</f>
        <v>41</v>
      </c>
      <c r="B42" s="31" t="n">
        <f aca="false">SUM(C42:O42)</f>
        <v>60</v>
      </c>
      <c r="D42" s="0" t="n">
        <v>60</v>
      </c>
    </row>
    <row r="43" customFormat="false" ht="15.75" hidden="false" customHeight="false" outlineLevel="0" collapsed="false">
      <c r="A43" s="39" t="n">
        <f aca="false">A42+1</f>
        <v>42</v>
      </c>
      <c r="B43" s="31" t="n">
        <f aca="false">SUM(C43:O43)</f>
        <v>60</v>
      </c>
      <c r="D43" s="0" t="n">
        <v>60</v>
      </c>
    </row>
    <row r="44" customFormat="false" ht="15.75" hidden="false" customHeight="false" outlineLevel="0" collapsed="false">
      <c r="A44" s="39" t="n">
        <f aca="false">A43+1</f>
        <v>43</v>
      </c>
      <c r="B44" s="31" t="n">
        <f aca="false">SUM(C44:O44)</f>
        <v>60</v>
      </c>
      <c r="D44" s="0" t="n">
        <v>60</v>
      </c>
    </row>
    <row r="45" customFormat="false" ht="15.75" hidden="false" customHeight="false" outlineLevel="0" collapsed="false">
      <c r="A45" s="39" t="n">
        <f aca="false">A44+1</f>
        <v>44</v>
      </c>
      <c r="B45" s="31" t="n">
        <f aca="false">SUM(C45:O45)</f>
        <v>60</v>
      </c>
      <c r="D45" s="0" t="n">
        <v>60</v>
      </c>
    </row>
    <row r="46" customFormat="false" ht="15.75" hidden="false" customHeight="false" outlineLevel="0" collapsed="false">
      <c r="A46" s="39" t="n">
        <f aca="false">A45+1</f>
        <v>45</v>
      </c>
      <c r="B46" s="31" t="n">
        <f aca="false">SUM(C46:O46)</f>
        <v>60</v>
      </c>
      <c r="D46" s="0" t="n">
        <v>60</v>
      </c>
    </row>
    <row r="47" customFormat="false" ht="15.75" hidden="false" customHeight="false" outlineLevel="0" collapsed="false">
      <c r="A47" s="39" t="n">
        <f aca="false">A46+1</f>
        <v>46</v>
      </c>
      <c r="B47" s="31" t="n">
        <f aca="false">SUM(C47:O47)</f>
        <v>60</v>
      </c>
      <c r="E47" s="0" t="n">
        <v>60</v>
      </c>
    </row>
    <row r="48" customFormat="false" ht="15.75" hidden="false" customHeight="false" outlineLevel="0" collapsed="false">
      <c r="A48" s="39" t="n">
        <f aca="false">A47+1</f>
        <v>47</v>
      </c>
      <c r="B48" s="31" t="n">
        <f aca="false">SUM(C48:O48)</f>
        <v>60</v>
      </c>
      <c r="E48" s="0" t="n">
        <v>60</v>
      </c>
    </row>
    <row r="49" customFormat="false" ht="15.75" hidden="false" customHeight="false" outlineLevel="0" collapsed="false">
      <c r="A49" s="39" t="n">
        <f aca="false">A48+1</f>
        <v>48</v>
      </c>
      <c r="B49" s="31" t="n">
        <f aca="false">SUM(C49:O49)</f>
        <v>60</v>
      </c>
      <c r="E49" s="0" t="n">
        <v>60</v>
      </c>
    </row>
    <row r="50" customFormat="false" ht="15.75" hidden="false" customHeight="false" outlineLevel="0" collapsed="false">
      <c r="A50" s="39" t="n">
        <f aca="false">A49+1</f>
        <v>49</v>
      </c>
      <c r="B50" s="31" t="n">
        <f aca="false">SUM(C50:O50)</f>
        <v>60</v>
      </c>
      <c r="F50" s="0" t="n">
        <v>60</v>
      </c>
    </row>
    <row r="51" customFormat="false" ht="15.75" hidden="false" customHeight="false" outlineLevel="0" collapsed="false">
      <c r="A51" s="39" t="n">
        <f aca="false">A50+1</f>
        <v>50</v>
      </c>
      <c r="B51" s="31" t="n">
        <f aca="false">SUM(C51:O51)</f>
        <v>60</v>
      </c>
      <c r="F51" s="0" t="n">
        <v>60</v>
      </c>
    </row>
    <row r="52" customFormat="false" ht="15.75" hidden="false" customHeight="false" outlineLevel="0" collapsed="false">
      <c r="A52" s="39" t="n">
        <f aca="false">A51+1</f>
        <v>51</v>
      </c>
      <c r="B52" s="31" t="n">
        <f aca="false">SUM(C52:O52)</f>
        <v>60</v>
      </c>
      <c r="F52" s="0" t="n">
        <v>60</v>
      </c>
    </row>
    <row r="53" customFormat="false" ht="15.75" hidden="false" customHeight="false" outlineLevel="0" collapsed="false">
      <c r="A53" s="39" t="n">
        <f aca="false">A52+1</f>
        <v>52</v>
      </c>
      <c r="B53" s="31" t="n">
        <f aca="false">SUM(C53:O53)</f>
        <v>60</v>
      </c>
      <c r="F53" s="0" t="n">
        <v>60</v>
      </c>
    </row>
    <row r="54" customFormat="false" ht="15.75" hidden="false" customHeight="false" outlineLevel="0" collapsed="false">
      <c r="A54" s="39" t="n">
        <f aca="false">A53+1</f>
        <v>53</v>
      </c>
      <c r="B54" s="31" t="n">
        <f aca="false">SUM(C54:O54)</f>
        <v>60</v>
      </c>
      <c r="F54" s="0" t="n">
        <v>60</v>
      </c>
    </row>
    <row r="55" customFormat="false" ht="15.75" hidden="false" customHeight="false" outlineLevel="0" collapsed="false">
      <c r="A55" s="39" t="n">
        <f aca="false">A54+1</f>
        <v>54</v>
      </c>
      <c r="B55" s="31" t="n">
        <f aca="false">SUM(C55:O55)</f>
        <v>60</v>
      </c>
      <c r="F55" s="0" t="n">
        <v>60</v>
      </c>
    </row>
    <row r="56" customFormat="false" ht="15.75" hidden="false" customHeight="false" outlineLevel="0" collapsed="false">
      <c r="A56" s="39" t="n">
        <f aca="false">A55+1</f>
        <v>55</v>
      </c>
      <c r="B56" s="31" t="n">
        <f aca="false">SUM(C56:O56)</f>
        <v>60</v>
      </c>
      <c r="H56" s="0" t="n">
        <v>60</v>
      </c>
    </row>
    <row r="57" customFormat="false" ht="15.75" hidden="false" customHeight="false" outlineLevel="0" collapsed="false">
      <c r="A57" s="39" t="n">
        <f aca="false">A56+1</f>
        <v>56</v>
      </c>
      <c r="B57" s="31" t="n">
        <f aca="false">SUM(C57:O57)</f>
        <v>60</v>
      </c>
      <c r="H57" s="0" t="n">
        <v>60</v>
      </c>
    </row>
    <row r="58" customFormat="false" ht="15.75" hidden="false" customHeight="false" outlineLevel="0" collapsed="false">
      <c r="A58" s="39" t="n">
        <f aca="false">A57+1</f>
        <v>57</v>
      </c>
      <c r="B58" s="31" t="n">
        <f aca="false">SUM(C58:O58)</f>
        <v>60</v>
      </c>
      <c r="H58" s="0" t="n">
        <v>60</v>
      </c>
    </row>
    <row r="59" customFormat="false" ht="15.75" hidden="false" customHeight="false" outlineLevel="0" collapsed="false">
      <c r="A59" s="39" t="n">
        <f aca="false">A58+1</f>
        <v>58</v>
      </c>
      <c r="B59" s="31" t="n">
        <f aca="false">SUM(C59:O59)</f>
        <v>60</v>
      </c>
      <c r="H59" s="0" t="n">
        <v>60</v>
      </c>
    </row>
    <row r="60" customFormat="false" ht="15.75" hidden="false" customHeight="false" outlineLevel="0" collapsed="false">
      <c r="A60" s="39" t="n">
        <f aca="false">A59+1</f>
        <v>59</v>
      </c>
      <c r="B60" s="31" t="n">
        <f aca="false">SUM(C60:O60)</f>
        <v>60</v>
      </c>
      <c r="H60" s="0" t="n">
        <v>60</v>
      </c>
    </row>
    <row r="61" customFormat="false" ht="15.75" hidden="false" customHeight="false" outlineLevel="0" collapsed="false">
      <c r="A61" s="39" t="n">
        <f aca="false">A60+1</f>
        <v>60</v>
      </c>
      <c r="B61" s="31" t="n">
        <f aca="false">SUM(C61:O61)</f>
        <v>60</v>
      </c>
      <c r="H61" s="0" t="n">
        <v>60</v>
      </c>
    </row>
    <row r="62" customFormat="false" ht="15.75" hidden="false" customHeight="false" outlineLevel="0" collapsed="false">
      <c r="A62" s="39" t="n">
        <f aca="false">A61+1</f>
        <v>61</v>
      </c>
      <c r="B62" s="31" t="n">
        <f aca="false">SUM(C62:O62)</f>
        <v>60</v>
      </c>
      <c r="H62" s="0" t="n">
        <v>60</v>
      </c>
    </row>
    <row r="63" customFormat="false" ht="15.75" hidden="false" customHeight="false" outlineLevel="0" collapsed="false">
      <c r="A63" s="39" t="n">
        <f aca="false">A62+1</f>
        <v>62</v>
      </c>
      <c r="B63" s="31" t="n">
        <f aca="false">SUM(C63:O63)</f>
        <v>60</v>
      </c>
      <c r="H63" s="0" t="n">
        <v>60</v>
      </c>
    </row>
    <row r="64" customFormat="false" ht="15.75" hidden="false" customHeight="false" outlineLevel="0" collapsed="false">
      <c r="A64" s="39" t="n">
        <f aca="false">A63+1</f>
        <v>63</v>
      </c>
      <c r="B64" s="31" t="n">
        <f aca="false">SUM(C64:O64)</f>
        <v>60</v>
      </c>
      <c r="I64" s="0" t="n">
        <v>60</v>
      </c>
    </row>
    <row r="65" customFormat="false" ht="15.75" hidden="false" customHeight="false" outlineLevel="0" collapsed="false">
      <c r="A65" s="39" t="n">
        <f aca="false">A64+1</f>
        <v>64</v>
      </c>
      <c r="B65" s="31" t="n">
        <f aca="false">SUM(C65:O65)</f>
        <v>60</v>
      </c>
      <c r="I65" s="0" t="n">
        <v>60</v>
      </c>
    </row>
    <row r="66" customFormat="false" ht="15.75" hidden="false" customHeight="false" outlineLevel="0" collapsed="false">
      <c r="A66" s="39" t="n">
        <f aca="false">A65+1</f>
        <v>65</v>
      </c>
      <c r="B66" s="31" t="n">
        <f aca="false">SUM(C66:O66)</f>
        <v>60</v>
      </c>
      <c r="I66" s="0" t="n">
        <v>60</v>
      </c>
    </row>
    <row r="67" customFormat="false" ht="15.75" hidden="false" customHeight="false" outlineLevel="0" collapsed="false">
      <c r="A67" s="39" t="n">
        <f aca="false">A66+1</f>
        <v>66</v>
      </c>
      <c r="B67" s="31" t="n">
        <f aca="false">SUM(C67:O67)</f>
        <v>60</v>
      </c>
      <c r="I67" s="0" t="n">
        <v>60</v>
      </c>
    </row>
    <row r="68" customFormat="false" ht="15.75" hidden="false" customHeight="false" outlineLevel="0" collapsed="false">
      <c r="A68" s="39" t="n">
        <f aca="false">A67+1</f>
        <v>67</v>
      </c>
      <c r="B68" s="31" t="n">
        <f aca="false">SUM(C68:O68)</f>
        <v>60</v>
      </c>
      <c r="I68" s="0" t="n">
        <v>60</v>
      </c>
    </row>
    <row r="69" customFormat="false" ht="15.75" hidden="false" customHeight="false" outlineLevel="0" collapsed="false">
      <c r="A69" s="39" t="n">
        <f aca="false">A68+1</f>
        <v>68</v>
      </c>
      <c r="B69" s="31" t="n">
        <f aca="false">SUM(C69:O69)</f>
        <v>60</v>
      </c>
      <c r="I69" s="0" t="n">
        <v>60</v>
      </c>
    </row>
    <row r="70" customFormat="false" ht="15.75" hidden="false" customHeight="false" outlineLevel="0" collapsed="false">
      <c r="A70" s="39" t="n">
        <f aca="false">A69+1</f>
        <v>69</v>
      </c>
      <c r="B70" s="31" t="n">
        <f aca="false">SUM(C70:O70)</f>
        <v>60</v>
      </c>
      <c r="I70" s="0" t="n">
        <v>60</v>
      </c>
    </row>
    <row r="71" customFormat="false" ht="15.75" hidden="false" customHeight="false" outlineLevel="0" collapsed="false">
      <c r="A71" s="39" t="n">
        <f aca="false">A70+1</f>
        <v>70</v>
      </c>
      <c r="B71" s="31" t="n">
        <f aca="false">SUM(C71:O71)</f>
        <v>60</v>
      </c>
      <c r="I71" s="0" t="n">
        <v>60</v>
      </c>
    </row>
    <row r="72" customFormat="false" ht="15.75" hidden="false" customHeight="false" outlineLevel="0" collapsed="false">
      <c r="A72" s="39" t="n">
        <f aca="false">A71+1</f>
        <v>71</v>
      </c>
      <c r="B72" s="31" t="n">
        <f aca="false">SUM(C72:O72)</f>
        <v>60</v>
      </c>
      <c r="I72" s="0" t="n">
        <v>60</v>
      </c>
    </row>
    <row r="73" customFormat="false" ht="15.75" hidden="false" customHeight="false" outlineLevel="0" collapsed="false">
      <c r="A73" s="39" t="n">
        <f aca="false">A72+1</f>
        <v>72</v>
      </c>
      <c r="B73" s="31" t="n">
        <f aca="false">SUM(C73:O73)</f>
        <v>60</v>
      </c>
      <c r="I73" s="0" t="n">
        <v>60</v>
      </c>
    </row>
    <row r="74" customFormat="false" ht="15.75" hidden="false" customHeight="true" outlineLevel="0" collapsed="false">
      <c r="A74" s="39" t="n">
        <f aca="false">A73+1</f>
        <v>73</v>
      </c>
      <c r="B74" s="0" t="n">
        <v>60</v>
      </c>
      <c r="I74" s="0" t="n">
        <v>60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2026-06-12T09:26:30Z</dcterms:modified>
  <cp:revision>2</cp:revision>
  <dc:subject/>
  <dc:title/>
</cp:coreProperties>
</file>